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Y:\Wagner\Programações\RH\Questionário ENIND\App\"/>
    </mc:Choice>
  </mc:AlternateContent>
  <xr:revisionPtr revIDLastSave="0" documentId="13_ncr:1_{1555464B-3D82-46A5-8903-00C7E46BC366}" xr6:coauthVersionLast="47" xr6:coauthVersionMax="47" xr10:uidLastSave="{00000000-0000-0000-0000-000000000000}"/>
  <bookViews>
    <workbookView xWindow="-120" yWindow="-120" windowWidth="29040" windowHeight="15720" xr2:uid="{4ABFC600-D865-440E-A0ED-FE29CA4E2163}"/>
  </bookViews>
  <sheets>
    <sheet name="Planilha2" sheetId="1" r:id="rId1"/>
    <sheet name="Atualização" sheetId="3" r:id="rId2"/>
    <sheet name="Planilha3" sheetId="5" r:id="rId3"/>
    <sheet name="Usuários" sheetId="2" r:id="rId4"/>
    <sheet name="Planilha1" sheetId="4" r:id="rId5"/>
  </sheets>
  <definedNames>
    <definedName name="_xlnm._FilterDatabase" localSheetId="4" hidden="1">Planilha1!$A$1:$E$144</definedName>
    <definedName name="_xlnm._FilterDatabase" localSheetId="0" hidden="1">Planilha2!$A$1:$L$391</definedName>
    <definedName name="_xlnm._FilterDatabase" localSheetId="2" hidden="1">Planilha3!$A$1:$I$154</definedName>
    <definedName name="_xlnm._FilterDatabase" localSheetId="3" hidden="1">Usuários!$A$1:$L$155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6" i="2" l="1"/>
  <c r="M143" i="2"/>
  <c r="M132" i="2"/>
  <c r="M131" i="2"/>
  <c r="M122" i="2"/>
  <c r="M120" i="2"/>
  <c r="K17" i="3"/>
  <c r="G23" i="3"/>
  <c r="G24" i="3"/>
  <c r="G22" i="3"/>
  <c r="K22" i="3"/>
  <c r="K23" i="3"/>
  <c r="K24" i="3"/>
  <c r="I23" i="3"/>
  <c r="I24" i="3"/>
  <c r="I2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8" i="3"/>
  <c r="K19" i="3"/>
  <c r="K20" i="3"/>
  <c r="K21" i="3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19" i="1"/>
  <c r="E45" i="1"/>
  <c r="E349" i="1"/>
  <c r="E46" i="1"/>
  <c r="E49" i="1"/>
  <c r="E50" i="1"/>
  <c r="E51" i="1"/>
  <c r="E52" i="1"/>
  <c r="E53" i="1"/>
  <c r="E47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307" i="1"/>
  <c r="E70" i="1"/>
  <c r="E71" i="1"/>
  <c r="E72" i="1"/>
  <c r="E73" i="1"/>
  <c r="E74" i="1"/>
  <c r="E308" i="1"/>
  <c r="E75" i="1"/>
  <c r="E227" i="1"/>
  <c r="E76" i="1"/>
  <c r="E77" i="1"/>
  <c r="E78" i="1"/>
  <c r="E79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49" i="1"/>
  <c r="E124" i="1"/>
  <c r="E250" i="1"/>
  <c r="E251" i="1"/>
  <c r="E125" i="1"/>
  <c r="E128" i="1"/>
  <c r="E129" i="1"/>
  <c r="E130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31" i="1"/>
  <c r="E184" i="1"/>
  <c r="E185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8" i="1"/>
  <c r="E229" i="1"/>
  <c r="E80" i="1"/>
  <c r="E230" i="1"/>
  <c r="E231" i="1"/>
  <c r="E327" i="1"/>
  <c r="E232" i="1"/>
  <c r="E233" i="1"/>
  <c r="E81" i="1"/>
  <c r="E234" i="1"/>
  <c r="E235" i="1"/>
  <c r="E236" i="1"/>
  <c r="E237" i="1"/>
  <c r="E238" i="1"/>
  <c r="E26" i="1"/>
  <c r="E239" i="1"/>
  <c r="E240" i="1"/>
  <c r="E186" i="1"/>
  <c r="E241" i="1"/>
  <c r="E242" i="1"/>
  <c r="E243" i="1"/>
  <c r="E244" i="1"/>
  <c r="E245" i="1"/>
  <c r="E246" i="1"/>
  <c r="E247" i="1"/>
  <c r="E248" i="1"/>
  <c r="E252" i="1"/>
  <c r="E253" i="1"/>
  <c r="E122" i="1"/>
  <c r="E126" i="1"/>
  <c r="E254" i="1"/>
  <c r="E255" i="1"/>
  <c r="E256" i="1"/>
  <c r="E257" i="1"/>
  <c r="E127" i="1"/>
  <c r="E123" i="1"/>
  <c r="E258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318" i="1"/>
  <c r="E285" i="1"/>
  <c r="E286" i="1"/>
  <c r="E287" i="1"/>
  <c r="E288" i="1"/>
  <c r="E289" i="1"/>
  <c r="E290" i="1"/>
  <c r="E291" i="1"/>
  <c r="E292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9" i="1"/>
  <c r="E310" i="1"/>
  <c r="E82" i="1"/>
  <c r="E311" i="1"/>
  <c r="E312" i="1"/>
  <c r="E313" i="1"/>
  <c r="E314" i="1"/>
  <c r="E315" i="1"/>
  <c r="E317" i="1"/>
  <c r="E319" i="1"/>
  <c r="E293" i="1"/>
  <c r="E320" i="1"/>
  <c r="E321" i="1"/>
  <c r="E322" i="1"/>
  <c r="E323" i="1"/>
  <c r="E324" i="1"/>
  <c r="E325" i="1"/>
  <c r="E326" i="1"/>
  <c r="E328" i="1"/>
  <c r="E329" i="1"/>
  <c r="E350" i="1"/>
  <c r="E330" i="1"/>
  <c r="E331" i="1"/>
  <c r="E332" i="1"/>
  <c r="E333" i="1"/>
  <c r="E351" i="1"/>
  <c r="E362" i="1"/>
  <c r="E334" i="1"/>
  <c r="E335" i="1"/>
  <c r="E336" i="1"/>
  <c r="E337" i="1"/>
  <c r="E363" i="1"/>
  <c r="E338" i="1"/>
  <c r="E339" i="1"/>
  <c r="E340" i="1"/>
  <c r="E341" i="1"/>
  <c r="E342" i="1"/>
  <c r="E343" i="1"/>
  <c r="E347" i="1"/>
  <c r="E348" i="1"/>
  <c r="E259" i="1"/>
  <c r="E352" i="1"/>
  <c r="E353" i="1"/>
  <c r="E316" i="1"/>
  <c r="E83" i="1"/>
  <c r="E364" i="1"/>
  <c r="E365" i="1"/>
  <c r="E354" i="1"/>
  <c r="E355" i="1"/>
  <c r="E356" i="1"/>
  <c r="E48" i="1"/>
  <c r="E357" i="1"/>
  <c r="E358" i="1"/>
  <c r="E359" i="1"/>
  <c r="E360" i="1"/>
  <c r="E361" i="1"/>
  <c r="E366" i="1"/>
  <c r="E367" i="1"/>
  <c r="E368" i="1"/>
  <c r="E161" i="1"/>
  <c r="E344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45" i="1"/>
  <c r="E386" i="1"/>
  <c r="E346" i="1"/>
  <c r="E387" i="1"/>
  <c r="E388" i="1"/>
  <c r="E389" i="1"/>
  <c r="E390" i="1"/>
  <c r="E39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19" i="1"/>
  <c r="F45" i="1"/>
  <c r="F349" i="1"/>
  <c r="F46" i="1"/>
  <c r="F49" i="1"/>
  <c r="F50" i="1"/>
  <c r="F51" i="1"/>
  <c r="F52" i="1"/>
  <c r="F53" i="1"/>
  <c r="F47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307" i="1"/>
  <c r="F70" i="1"/>
  <c r="F71" i="1"/>
  <c r="F72" i="1"/>
  <c r="F73" i="1"/>
  <c r="F74" i="1"/>
  <c r="F308" i="1"/>
  <c r="F75" i="1"/>
  <c r="F227" i="1"/>
  <c r="F76" i="1"/>
  <c r="F77" i="1"/>
  <c r="F78" i="1"/>
  <c r="F79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249" i="1"/>
  <c r="F124" i="1"/>
  <c r="F250" i="1"/>
  <c r="F251" i="1"/>
  <c r="F125" i="1"/>
  <c r="F128" i="1"/>
  <c r="F129" i="1"/>
  <c r="F130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31" i="1"/>
  <c r="F184" i="1"/>
  <c r="F185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8" i="1"/>
  <c r="F229" i="1"/>
  <c r="F80" i="1"/>
  <c r="F230" i="1"/>
  <c r="F231" i="1"/>
  <c r="F327" i="1"/>
  <c r="F232" i="1"/>
  <c r="F233" i="1"/>
  <c r="F81" i="1"/>
  <c r="F234" i="1"/>
  <c r="F235" i="1"/>
  <c r="F236" i="1"/>
  <c r="F237" i="1"/>
  <c r="F238" i="1"/>
  <c r="F26" i="1"/>
  <c r="F239" i="1"/>
  <c r="F240" i="1"/>
  <c r="F186" i="1"/>
  <c r="F241" i="1"/>
  <c r="F242" i="1"/>
  <c r="F243" i="1"/>
  <c r="F244" i="1"/>
  <c r="F245" i="1"/>
  <c r="F246" i="1"/>
  <c r="F247" i="1"/>
  <c r="F248" i="1"/>
  <c r="F252" i="1"/>
  <c r="F253" i="1"/>
  <c r="F122" i="1"/>
  <c r="F126" i="1"/>
  <c r="F254" i="1"/>
  <c r="F255" i="1"/>
  <c r="F256" i="1"/>
  <c r="F257" i="1"/>
  <c r="F127" i="1"/>
  <c r="F123" i="1"/>
  <c r="F258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318" i="1"/>
  <c r="F285" i="1"/>
  <c r="F286" i="1"/>
  <c r="F287" i="1"/>
  <c r="F288" i="1"/>
  <c r="F289" i="1"/>
  <c r="F290" i="1"/>
  <c r="F291" i="1"/>
  <c r="F292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9" i="1"/>
  <c r="F310" i="1"/>
  <c r="F82" i="1"/>
  <c r="F311" i="1"/>
  <c r="F312" i="1"/>
  <c r="F313" i="1"/>
  <c r="F314" i="1"/>
  <c r="F315" i="1"/>
  <c r="F317" i="1"/>
  <c r="F319" i="1"/>
  <c r="F293" i="1"/>
  <c r="F320" i="1"/>
  <c r="F321" i="1"/>
  <c r="F322" i="1"/>
  <c r="F323" i="1"/>
  <c r="F324" i="1"/>
  <c r="F325" i="1"/>
  <c r="F326" i="1"/>
  <c r="F328" i="1"/>
  <c r="F329" i="1"/>
  <c r="F350" i="1"/>
  <c r="F330" i="1"/>
  <c r="F331" i="1"/>
  <c r="F332" i="1"/>
  <c r="F333" i="1"/>
  <c r="F351" i="1"/>
  <c r="F362" i="1"/>
  <c r="F334" i="1"/>
  <c r="F335" i="1"/>
  <c r="F336" i="1"/>
  <c r="F337" i="1"/>
  <c r="F363" i="1"/>
  <c r="F338" i="1"/>
  <c r="F339" i="1"/>
  <c r="F340" i="1"/>
  <c r="F341" i="1"/>
  <c r="F342" i="1"/>
  <c r="F343" i="1"/>
  <c r="F347" i="1"/>
  <c r="F348" i="1"/>
  <c r="F259" i="1"/>
  <c r="F352" i="1"/>
  <c r="F353" i="1"/>
  <c r="F316" i="1"/>
  <c r="F83" i="1"/>
  <c r="F364" i="1"/>
  <c r="F365" i="1"/>
  <c r="F354" i="1"/>
  <c r="F355" i="1"/>
  <c r="F356" i="1"/>
  <c r="F48" i="1"/>
  <c r="F357" i="1"/>
  <c r="F358" i="1"/>
  <c r="F359" i="1"/>
  <c r="F360" i="1"/>
  <c r="F361" i="1"/>
  <c r="F366" i="1"/>
  <c r="F367" i="1"/>
  <c r="F368" i="1"/>
  <c r="F161" i="1"/>
  <c r="F344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45" i="1"/>
  <c r="F386" i="1"/>
  <c r="F346" i="1"/>
  <c r="F387" i="1"/>
  <c r="F388" i="1"/>
  <c r="F389" i="1"/>
  <c r="F390" i="1"/>
  <c r="F39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19" i="1"/>
  <c r="G45" i="1"/>
  <c r="G349" i="1"/>
  <c r="G46" i="1"/>
  <c r="G49" i="1"/>
  <c r="G50" i="1"/>
  <c r="G51" i="1"/>
  <c r="G52" i="1"/>
  <c r="G53" i="1"/>
  <c r="G47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307" i="1"/>
  <c r="G70" i="1"/>
  <c r="G71" i="1"/>
  <c r="G72" i="1"/>
  <c r="G73" i="1"/>
  <c r="G74" i="1"/>
  <c r="G308" i="1"/>
  <c r="G75" i="1"/>
  <c r="G227" i="1"/>
  <c r="G76" i="1"/>
  <c r="G77" i="1"/>
  <c r="G78" i="1"/>
  <c r="G79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49" i="1"/>
  <c r="G124" i="1"/>
  <c r="G250" i="1"/>
  <c r="G251" i="1"/>
  <c r="G125" i="1"/>
  <c r="G128" i="1"/>
  <c r="G129" i="1"/>
  <c r="G130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31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8" i="1"/>
  <c r="G229" i="1"/>
  <c r="G80" i="1"/>
  <c r="G230" i="1"/>
  <c r="G231" i="1"/>
  <c r="G327" i="1"/>
  <c r="G232" i="1"/>
  <c r="G233" i="1"/>
  <c r="G81" i="1"/>
  <c r="G234" i="1"/>
  <c r="G235" i="1"/>
  <c r="G236" i="1"/>
  <c r="G237" i="1"/>
  <c r="G238" i="1"/>
  <c r="G26" i="1"/>
  <c r="G239" i="1"/>
  <c r="G240" i="1"/>
  <c r="G186" i="1"/>
  <c r="G241" i="1"/>
  <c r="G242" i="1"/>
  <c r="G243" i="1"/>
  <c r="G244" i="1"/>
  <c r="G245" i="1"/>
  <c r="G246" i="1"/>
  <c r="G247" i="1"/>
  <c r="G248" i="1"/>
  <c r="G252" i="1"/>
  <c r="G253" i="1"/>
  <c r="G122" i="1"/>
  <c r="G126" i="1"/>
  <c r="G254" i="1"/>
  <c r="G255" i="1"/>
  <c r="G256" i="1"/>
  <c r="G257" i="1"/>
  <c r="G127" i="1"/>
  <c r="G123" i="1"/>
  <c r="G258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318" i="1"/>
  <c r="G285" i="1"/>
  <c r="G286" i="1"/>
  <c r="G287" i="1"/>
  <c r="G288" i="1"/>
  <c r="G289" i="1"/>
  <c r="G290" i="1"/>
  <c r="G291" i="1"/>
  <c r="G292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9" i="1"/>
  <c r="G310" i="1"/>
  <c r="G82" i="1"/>
  <c r="G311" i="1"/>
  <c r="G312" i="1"/>
  <c r="G313" i="1"/>
  <c r="G314" i="1"/>
  <c r="G315" i="1"/>
  <c r="G317" i="1"/>
  <c r="G319" i="1"/>
  <c r="G293" i="1"/>
  <c r="G320" i="1"/>
  <c r="G321" i="1"/>
  <c r="G322" i="1"/>
  <c r="G323" i="1"/>
  <c r="G324" i="1"/>
  <c r="G325" i="1"/>
  <c r="G326" i="1"/>
  <c r="G328" i="1"/>
  <c r="G329" i="1"/>
  <c r="G350" i="1"/>
  <c r="G330" i="1"/>
  <c r="G331" i="1"/>
  <c r="G332" i="1"/>
  <c r="G333" i="1"/>
  <c r="G351" i="1"/>
  <c r="G362" i="1"/>
  <c r="G334" i="1"/>
  <c r="G335" i="1"/>
  <c r="G336" i="1"/>
  <c r="G337" i="1"/>
  <c r="G363" i="1"/>
  <c r="G338" i="1"/>
  <c r="G339" i="1"/>
  <c r="G340" i="1"/>
  <c r="G341" i="1"/>
  <c r="G342" i="1"/>
  <c r="G343" i="1"/>
  <c r="G347" i="1"/>
  <c r="G348" i="1"/>
  <c r="G259" i="1"/>
  <c r="G352" i="1"/>
  <c r="G353" i="1"/>
  <c r="G316" i="1"/>
  <c r="G83" i="1"/>
  <c r="G364" i="1"/>
  <c r="G365" i="1"/>
  <c r="G354" i="1"/>
  <c r="G355" i="1"/>
  <c r="G356" i="1"/>
  <c r="G48" i="1"/>
  <c r="G357" i="1"/>
  <c r="G358" i="1"/>
  <c r="G359" i="1"/>
  <c r="G360" i="1"/>
  <c r="G361" i="1"/>
  <c r="G366" i="1"/>
  <c r="G367" i="1"/>
  <c r="G368" i="1"/>
  <c r="G161" i="1"/>
  <c r="G344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45" i="1"/>
  <c r="G386" i="1"/>
  <c r="G346" i="1"/>
  <c r="G387" i="1"/>
  <c r="G388" i="1"/>
  <c r="G389" i="1"/>
  <c r="G390" i="1"/>
  <c r="G39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19" i="1"/>
  <c r="H45" i="1"/>
  <c r="H349" i="1"/>
  <c r="H46" i="1"/>
  <c r="H49" i="1"/>
  <c r="H50" i="1"/>
  <c r="H51" i="1"/>
  <c r="H52" i="1"/>
  <c r="H53" i="1"/>
  <c r="H47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307" i="1"/>
  <c r="H70" i="1"/>
  <c r="H71" i="1"/>
  <c r="H72" i="1"/>
  <c r="H73" i="1"/>
  <c r="H74" i="1"/>
  <c r="H308" i="1"/>
  <c r="H75" i="1"/>
  <c r="H227" i="1"/>
  <c r="H76" i="1"/>
  <c r="H77" i="1"/>
  <c r="H78" i="1"/>
  <c r="H79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49" i="1"/>
  <c r="H124" i="1"/>
  <c r="H250" i="1"/>
  <c r="H251" i="1"/>
  <c r="H125" i="1"/>
  <c r="H128" i="1"/>
  <c r="H129" i="1"/>
  <c r="H130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31" i="1"/>
  <c r="H184" i="1"/>
  <c r="H185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8" i="1"/>
  <c r="H229" i="1"/>
  <c r="H80" i="1"/>
  <c r="H230" i="1"/>
  <c r="H231" i="1"/>
  <c r="H327" i="1"/>
  <c r="H232" i="1"/>
  <c r="H233" i="1"/>
  <c r="H81" i="1"/>
  <c r="H234" i="1"/>
  <c r="H235" i="1"/>
  <c r="H236" i="1"/>
  <c r="H237" i="1"/>
  <c r="H238" i="1"/>
  <c r="H26" i="1"/>
  <c r="H239" i="1"/>
  <c r="H240" i="1"/>
  <c r="H186" i="1"/>
  <c r="H241" i="1"/>
  <c r="H242" i="1"/>
  <c r="H243" i="1"/>
  <c r="H244" i="1"/>
  <c r="H245" i="1"/>
  <c r="H246" i="1"/>
  <c r="H247" i="1"/>
  <c r="H248" i="1"/>
  <c r="H252" i="1"/>
  <c r="H253" i="1"/>
  <c r="H122" i="1"/>
  <c r="H126" i="1"/>
  <c r="H254" i="1"/>
  <c r="H255" i="1"/>
  <c r="H256" i="1"/>
  <c r="H257" i="1"/>
  <c r="H127" i="1"/>
  <c r="H123" i="1"/>
  <c r="H258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318" i="1"/>
  <c r="H285" i="1"/>
  <c r="H286" i="1"/>
  <c r="H287" i="1"/>
  <c r="H288" i="1"/>
  <c r="H289" i="1"/>
  <c r="H290" i="1"/>
  <c r="H291" i="1"/>
  <c r="H292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9" i="1"/>
  <c r="H310" i="1"/>
  <c r="H82" i="1"/>
  <c r="H311" i="1"/>
  <c r="H312" i="1"/>
  <c r="H313" i="1"/>
  <c r="H314" i="1"/>
  <c r="H315" i="1"/>
  <c r="H317" i="1"/>
  <c r="H319" i="1"/>
  <c r="H293" i="1"/>
  <c r="H320" i="1"/>
  <c r="H321" i="1"/>
  <c r="H322" i="1"/>
  <c r="H323" i="1"/>
  <c r="H324" i="1"/>
  <c r="H325" i="1"/>
  <c r="H326" i="1"/>
  <c r="H328" i="1"/>
  <c r="H329" i="1"/>
  <c r="H350" i="1"/>
  <c r="H330" i="1"/>
  <c r="H331" i="1"/>
  <c r="H332" i="1"/>
  <c r="H333" i="1"/>
  <c r="H351" i="1"/>
  <c r="H362" i="1"/>
  <c r="H334" i="1"/>
  <c r="H335" i="1"/>
  <c r="H336" i="1"/>
  <c r="H337" i="1"/>
  <c r="H363" i="1"/>
  <c r="H338" i="1"/>
  <c r="H339" i="1"/>
  <c r="H340" i="1"/>
  <c r="H341" i="1"/>
  <c r="H342" i="1"/>
  <c r="H343" i="1"/>
  <c r="H347" i="1"/>
  <c r="H348" i="1"/>
  <c r="H259" i="1"/>
  <c r="H352" i="1"/>
  <c r="H353" i="1"/>
  <c r="H316" i="1"/>
  <c r="H83" i="1"/>
  <c r="H364" i="1"/>
  <c r="H365" i="1"/>
  <c r="H354" i="1"/>
  <c r="H355" i="1"/>
  <c r="H356" i="1"/>
  <c r="H48" i="1"/>
  <c r="H357" i="1"/>
  <c r="H358" i="1"/>
  <c r="H359" i="1"/>
  <c r="H360" i="1"/>
  <c r="H361" i="1"/>
  <c r="H366" i="1"/>
  <c r="H367" i="1"/>
  <c r="H368" i="1"/>
  <c r="H161" i="1"/>
  <c r="H344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45" i="1"/>
  <c r="H386" i="1"/>
  <c r="H346" i="1"/>
  <c r="H387" i="1"/>
  <c r="H388" i="1"/>
  <c r="H389" i="1"/>
  <c r="H390" i="1"/>
  <c r="H391" i="1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M2" i="1"/>
  <c r="N2" i="1" s="1"/>
  <c r="O2" i="1" s="1"/>
  <c r="Q2" i="1" s="1"/>
  <c r="M3" i="1"/>
  <c r="N3" i="1" s="1"/>
  <c r="O3" i="1" s="1"/>
  <c r="Q3" i="1" s="1"/>
  <c r="M4" i="1"/>
  <c r="N4" i="1" s="1"/>
  <c r="O4" i="1" s="1"/>
  <c r="Q4" i="1" s="1"/>
  <c r="M5" i="1"/>
  <c r="N5" i="1" s="1"/>
  <c r="O5" i="1" s="1"/>
  <c r="Q5" i="1" s="1"/>
  <c r="M6" i="1"/>
  <c r="N6" i="1" s="1"/>
  <c r="O6" i="1" s="1"/>
  <c r="Q6" i="1" s="1"/>
  <c r="M7" i="1"/>
  <c r="N7" i="1" s="1"/>
  <c r="O7" i="1" s="1"/>
  <c r="Q7" i="1" s="1"/>
  <c r="M8" i="1"/>
  <c r="N8" i="1" s="1"/>
  <c r="O8" i="1" s="1"/>
  <c r="Q8" i="1" s="1"/>
  <c r="M9" i="1"/>
  <c r="N9" i="1" s="1"/>
  <c r="O9" i="1" s="1"/>
  <c r="Q9" i="1" s="1"/>
  <c r="M10" i="1"/>
  <c r="N10" i="1" s="1"/>
  <c r="O10" i="1" s="1"/>
  <c r="Q10" i="1" s="1"/>
  <c r="M11" i="1"/>
  <c r="N11" i="1" s="1"/>
  <c r="O11" i="1" s="1"/>
  <c r="Q11" i="1" s="1"/>
  <c r="M12" i="1"/>
  <c r="N12" i="1" s="1"/>
  <c r="O12" i="1" s="1"/>
  <c r="Q12" i="1" s="1"/>
  <c r="M13" i="1"/>
  <c r="N13" i="1" s="1"/>
  <c r="O13" i="1" s="1"/>
  <c r="Q13" i="1" s="1"/>
  <c r="M14" i="1"/>
  <c r="N14" i="1" s="1"/>
  <c r="O14" i="1" s="1"/>
  <c r="Q14" i="1" s="1"/>
  <c r="M15" i="1"/>
  <c r="N15" i="1" s="1"/>
  <c r="O15" i="1" s="1"/>
  <c r="Q15" i="1" s="1"/>
  <c r="M16" i="1"/>
  <c r="N16" i="1" s="1"/>
  <c r="O16" i="1" s="1"/>
  <c r="Q16" i="1" s="1"/>
  <c r="M17" i="1"/>
  <c r="N17" i="1" s="1"/>
  <c r="O17" i="1" s="1"/>
  <c r="Q17" i="1" s="1"/>
  <c r="M18" i="1"/>
  <c r="N18" i="1" s="1"/>
  <c r="O18" i="1" s="1"/>
  <c r="Q18" i="1" s="1"/>
  <c r="M20" i="1"/>
  <c r="N20" i="1" s="1"/>
  <c r="O20" i="1" s="1"/>
  <c r="Q20" i="1" s="1"/>
  <c r="M21" i="1"/>
  <c r="N21" i="1" s="1"/>
  <c r="O21" i="1" s="1"/>
  <c r="Q21" i="1" s="1"/>
  <c r="M22" i="1"/>
  <c r="N22" i="1" s="1"/>
  <c r="O22" i="1" s="1"/>
  <c r="Q22" i="1" s="1"/>
  <c r="M23" i="1"/>
  <c r="N23" i="1" s="1"/>
  <c r="O23" i="1" s="1"/>
  <c r="Q23" i="1" s="1"/>
  <c r="M24" i="1"/>
  <c r="N24" i="1" s="1"/>
  <c r="O24" i="1" s="1"/>
  <c r="Q24" i="1" s="1"/>
  <c r="M25" i="1"/>
  <c r="N25" i="1" s="1"/>
  <c r="O25" i="1" s="1"/>
  <c r="Q25" i="1" s="1"/>
  <c r="M27" i="1"/>
  <c r="N27" i="1" s="1"/>
  <c r="O27" i="1" s="1"/>
  <c r="Q27" i="1" s="1"/>
  <c r="M28" i="1"/>
  <c r="N28" i="1" s="1"/>
  <c r="O28" i="1" s="1"/>
  <c r="Q28" i="1" s="1"/>
  <c r="M29" i="1"/>
  <c r="N29" i="1" s="1"/>
  <c r="O29" i="1" s="1"/>
  <c r="Q29" i="1" s="1"/>
  <c r="M30" i="1"/>
  <c r="N30" i="1" s="1"/>
  <c r="O30" i="1" s="1"/>
  <c r="Q30" i="1" s="1"/>
  <c r="M31" i="1"/>
  <c r="N31" i="1" s="1"/>
  <c r="O31" i="1" s="1"/>
  <c r="Q31" i="1" s="1"/>
  <c r="M32" i="1"/>
  <c r="N32" i="1" s="1"/>
  <c r="O32" i="1" s="1"/>
  <c r="M33" i="1"/>
  <c r="N33" i="1" s="1"/>
  <c r="O33" i="1" s="1"/>
  <c r="Q33" i="1" s="1"/>
  <c r="M34" i="1"/>
  <c r="N34" i="1" s="1"/>
  <c r="O34" i="1" s="1"/>
  <c r="Q34" i="1" s="1"/>
  <c r="M35" i="1"/>
  <c r="N35" i="1" s="1"/>
  <c r="O35" i="1" s="1"/>
  <c r="Q35" i="1" s="1"/>
  <c r="M36" i="1"/>
  <c r="N36" i="1" s="1"/>
  <c r="O36" i="1" s="1"/>
  <c r="Q36" i="1" s="1"/>
  <c r="M37" i="1"/>
  <c r="N37" i="1" s="1"/>
  <c r="O37" i="1" s="1"/>
  <c r="Q37" i="1" s="1"/>
  <c r="M38" i="1"/>
  <c r="N38" i="1" s="1"/>
  <c r="O38" i="1" s="1"/>
  <c r="Q38" i="1" s="1"/>
  <c r="M39" i="1"/>
  <c r="N39" i="1" s="1"/>
  <c r="O39" i="1" s="1"/>
  <c r="Q39" i="1" s="1"/>
  <c r="M40" i="1"/>
  <c r="N40" i="1" s="1"/>
  <c r="O40" i="1" s="1"/>
  <c r="Q40" i="1" s="1"/>
  <c r="M41" i="1"/>
  <c r="N41" i="1" s="1"/>
  <c r="O41" i="1" s="1"/>
  <c r="Q41" i="1" s="1"/>
  <c r="M42" i="1"/>
  <c r="N42" i="1" s="1"/>
  <c r="O42" i="1" s="1"/>
  <c r="Q42" i="1" s="1"/>
  <c r="M43" i="1"/>
  <c r="N43" i="1" s="1"/>
  <c r="O43" i="1" s="1"/>
  <c r="Q43" i="1" s="1"/>
  <c r="M44" i="1"/>
  <c r="N44" i="1" s="1"/>
  <c r="O44" i="1" s="1"/>
  <c r="Q44" i="1" s="1"/>
  <c r="M19" i="1"/>
  <c r="N19" i="1" s="1"/>
  <c r="O19" i="1" s="1"/>
  <c r="M45" i="1"/>
  <c r="N45" i="1" s="1"/>
  <c r="O45" i="1" s="1"/>
  <c r="Q45" i="1" s="1"/>
  <c r="M349" i="1"/>
  <c r="N349" i="1" s="1"/>
  <c r="O349" i="1" s="1"/>
  <c r="M46" i="1"/>
  <c r="N46" i="1" s="1"/>
  <c r="O46" i="1" s="1"/>
  <c r="Q46" i="1" s="1"/>
  <c r="M49" i="1"/>
  <c r="N49" i="1" s="1"/>
  <c r="O49" i="1" s="1"/>
  <c r="Q49" i="1" s="1"/>
  <c r="M50" i="1"/>
  <c r="N50" i="1" s="1"/>
  <c r="O50" i="1" s="1"/>
  <c r="Q50" i="1" s="1"/>
  <c r="M51" i="1"/>
  <c r="N51" i="1" s="1"/>
  <c r="O51" i="1" s="1"/>
  <c r="Q51" i="1" s="1"/>
  <c r="M52" i="1"/>
  <c r="N52" i="1" s="1"/>
  <c r="O52" i="1" s="1"/>
  <c r="Q52" i="1" s="1"/>
  <c r="M53" i="1"/>
  <c r="N53" i="1" s="1"/>
  <c r="O53" i="1" s="1"/>
  <c r="Q53" i="1" s="1"/>
  <c r="M47" i="1"/>
  <c r="N47" i="1" s="1"/>
  <c r="O47" i="1" s="1"/>
  <c r="M54" i="1"/>
  <c r="N54" i="1" s="1"/>
  <c r="O54" i="1" s="1"/>
  <c r="Q54" i="1" s="1"/>
  <c r="M55" i="1"/>
  <c r="N55" i="1" s="1"/>
  <c r="O55" i="1" s="1"/>
  <c r="Q55" i="1" s="1"/>
  <c r="M56" i="1"/>
  <c r="N56" i="1" s="1"/>
  <c r="O56" i="1" s="1"/>
  <c r="Q56" i="1" s="1"/>
  <c r="M57" i="1"/>
  <c r="N57" i="1" s="1"/>
  <c r="O57" i="1" s="1"/>
  <c r="Q57" i="1" s="1"/>
  <c r="M58" i="1"/>
  <c r="N58" i="1" s="1"/>
  <c r="O58" i="1" s="1"/>
  <c r="Q58" i="1" s="1"/>
  <c r="M59" i="1"/>
  <c r="N59" i="1" s="1"/>
  <c r="O59" i="1" s="1"/>
  <c r="Q59" i="1" s="1"/>
  <c r="M60" i="1"/>
  <c r="N60" i="1" s="1"/>
  <c r="O60" i="1" s="1"/>
  <c r="Q60" i="1" s="1"/>
  <c r="M61" i="1"/>
  <c r="N61" i="1" s="1"/>
  <c r="O61" i="1" s="1"/>
  <c r="Q61" i="1" s="1"/>
  <c r="M62" i="1"/>
  <c r="N62" i="1" s="1"/>
  <c r="O62" i="1" s="1"/>
  <c r="Q62" i="1" s="1"/>
  <c r="M63" i="1"/>
  <c r="N63" i="1" s="1"/>
  <c r="O63" i="1" s="1"/>
  <c r="Q63" i="1" s="1"/>
  <c r="M64" i="1"/>
  <c r="N64" i="1" s="1"/>
  <c r="O64" i="1" s="1"/>
  <c r="Q64" i="1" s="1"/>
  <c r="M65" i="1"/>
  <c r="N65" i="1" s="1"/>
  <c r="O65" i="1" s="1"/>
  <c r="Q65" i="1" s="1"/>
  <c r="M66" i="1"/>
  <c r="N66" i="1" s="1"/>
  <c r="O66" i="1" s="1"/>
  <c r="Q66" i="1" s="1"/>
  <c r="M67" i="1"/>
  <c r="N67" i="1" s="1"/>
  <c r="O67" i="1" s="1"/>
  <c r="Q67" i="1" s="1"/>
  <c r="M68" i="1"/>
  <c r="N68" i="1" s="1"/>
  <c r="O68" i="1" s="1"/>
  <c r="Q68" i="1" s="1"/>
  <c r="M69" i="1"/>
  <c r="N69" i="1" s="1"/>
  <c r="O69" i="1" s="1"/>
  <c r="Q69" i="1" s="1"/>
  <c r="M307" i="1"/>
  <c r="N307" i="1" s="1"/>
  <c r="O307" i="1" s="1"/>
  <c r="M70" i="1"/>
  <c r="N70" i="1" s="1"/>
  <c r="O70" i="1" s="1"/>
  <c r="Q70" i="1" s="1"/>
  <c r="M71" i="1"/>
  <c r="N71" i="1" s="1"/>
  <c r="O71" i="1" s="1"/>
  <c r="Q71" i="1" s="1"/>
  <c r="M72" i="1"/>
  <c r="N72" i="1" s="1"/>
  <c r="O72" i="1" s="1"/>
  <c r="Q72" i="1" s="1"/>
  <c r="M73" i="1"/>
  <c r="N73" i="1" s="1"/>
  <c r="O73" i="1" s="1"/>
  <c r="Q73" i="1" s="1"/>
  <c r="M74" i="1"/>
  <c r="N74" i="1" s="1"/>
  <c r="O74" i="1" s="1"/>
  <c r="Q74" i="1" s="1"/>
  <c r="M308" i="1"/>
  <c r="N308" i="1" s="1"/>
  <c r="O308" i="1" s="1"/>
  <c r="M75" i="1"/>
  <c r="N75" i="1" s="1"/>
  <c r="O75" i="1" s="1"/>
  <c r="Q75" i="1" s="1"/>
  <c r="M227" i="1"/>
  <c r="N227" i="1" s="1"/>
  <c r="O227" i="1" s="1"/>
  <c r="M76" i="1"/>
  <c r="N76" i="1" s="1"/>
  <c r="O76" i="1" s="1"/>
  <c r="Q76" i="1" s="1"/>
  <c r="M77" i="1"/>
  <c r="N77" i="1" s="1"/>
  <c r="O77" i="1" s="1"/>
  <c r="Q77" i="1" s="1"/>
  <c r="M78" i="1"/>
  <c r="N78" i="1" s="1"/>
  <c r="O78" i="1" s="1"/>
  <c r="Q78" i="1" s="1"/>
  <c r="M79" i="1"/>
  <c r="N79" i="1" s="1"/>
  <c r="O79" i="1" s="1"/>
  <c r="Q79" i="1" s="1"/>
  <c r="M84" i="1"/>
  <c r="N84" i="1" s="1"/>
  <c r="O84" i="1" s="1"/>
  <c r="Q84" i="1" s="1"/>
  <c r="M85" i="1"/>
  <c r="N85" i="1" s="1"/>
  <c r="O85" i="1" s="1"/>
  <c r="Q85" i="1" s="1"/>
  <c r="M86" i="1"/>
  <c r="N86" i="1" s="1"/>
  <c r="O86" i="1" s="1"/>
  <c r="Q86" i="1" s="1"/>
  <c r="M87" i="1"/>
  <c r="N87" i="1" s="1"/>
  <c r="O87" i="1" s="1"/>
  <c r="Q87" i="1" s="1"/>
  <c r="M88" i="1"/>
  <c r="N88" i="1" s="1"/>
  <c r="O88" i="1" s="1"/>
  <c r="Q88" i="1" s="1"/>
  <c r="M89" i="1"/>
  <c r="N89" i="1" s="1"/>
  <c r="O89" i="1" s="1"/>
  <c r="Q89" i="1" s="1"/>
  <c r="M90" i="1"/>
  <c r="N90" i="1" s="1"/>
  <c r="O90" i="1" s="1"/>
  <c r="Q90" i="1" s="1"/>
  <c r="M91" i="1"/>
  <c r="N91" i="1" s="1"/>
  <c r="O91" i="1" s="1"/>
  <c r="Q91" i="1" s="1"/>
  <c r="M92" i="1"/>
  <c r="N92" i="1" s="1"/>
  <c r="O92" i="1" s="1"/>
  <c r="Q92" i="1" s="1"/>
  <c r="M93" i="1"/>
  <c r="N93" i="1" s="1"/>
  <c r="O93" i="1" s="1"/>
  <c r="Q93" i="1" s="1"/>
  <c r="M94" i="1"/>
  <c r="N94" i="1" s="1"/>
  <c r="O94" i="1" s="1"/>
  <c r="Q94" i="1" s="1"/>
  <c r="M95" i="1"/>
  <c r="N95" i="1" s="1"/>
  <c r="O95" i="1" s="1"/>
  <c r="Q95" i="1" s="1"/>
  <c r="M96" i="1"/>
  <c r="N96" i="1" s="1"/>
  <c r="O96" i="1" s="1"/>
  <c r="Q96" i="1" s="1"/>
  <c r="M97" i="1"/>
  <c r="N97" i="1" s="1"/>
  <c r="O97" i="1" s="1"/>
  <c r="Q97" i="1" s="1"/>
  <c r="M98" i="1"/>
  <c r="N98" i="1" s="1"/>
  <c r="O98" i="1" s="1"/>
  <c r="Q98" i="1" s="1"/>
  <c r="M99" i="1"/>
  <c r="N99" i="1" s="1"/>
  <c r="O99" i="1" s="1"/>
  <c r="Q99" i="1" s="1"/>
  <c r="M100" i="1"/>
  <c r="N100" i="1" s="1"/>
  <c r="O100" i="1" s="1"/>
  <c r="Q100" i="1" s="1"/>
  <c r="M101" i="1"/>
  <c r="N101" i="1" s="1"/>
  <c r="O101" i="1" s="1"/>
  <c r="Q101" i="1" s="1"/>
  <c r="M102" i="1"/>
  <c r="N102" i="1" s="1"/>
  <c r="O102" i="1" s="1"/>
  <c r="Q102" i="1" s="1"/>
  <c r="M103" i="1"/>
  <c r="N103" i="1" s="1"/>
  <c r="O103" i="1" s="1"/>
  <c r="Q103" i="1" s="1"/>
  <c r="M104" i="1"/>
  <c r="N104" i="1" s="1"/>
  <c r="O104" i="1" s="1"/>
  <c r="Q104" i="1" s="1"/>
  <c r="M105" i="1"/>
  <c r="N105" i="1" s="1"/>
  <c r="O105" i="1" s="1"/>
  <c r="Q105" i="1" s="1"/>
  <c r="M106" i="1"/>
  <c r="N106" i="1" s="1"/>
  <c r="O106" i="1" s="1"/>
  <c r="Q106" i="1" s="1"/>
  <c r="M107" i="1"/>
  <c r="N107" i="1" s="1"/>
  <c r="O107" i="1" s="1"/>
  <c r="Q107" i="1" s="1"/>
  <c r="M108" i="1"/>
  <c r="N108" i="1" s="1"/>
  <c r="O108" i="1" s="1"/>
  <c r="Q108" i="1" s="1"/>
  <c r="M109" i="1"/>
  <c r="N109" i="1" s="1"/>
  <c r="O109" i="1" s="1"/>
  <c r="Q109" i="1" s="1"/>
  <c r="M110" i="1"/>
  <c r="N110" i="1" s="1"/>
  <c r="O110" i="1" s="1"/>
  <c r="Q110" i="1" s="1"/>
  <c r="M111" i="1"/>
  <c r="N111" i="1" s="1"/>
  <c r="O111" i="1" s="1"/>
  <c r="Q111" i="1" s="1"/>
  <c r="M112" i="1"/>
  <c r="N112" i="1" s="1"/>
  <c r="O112" i="1" s="1"/>
  <c r="Q112" i="1" s="1"/>
  <c r="M113" i="1"/>
  <c r="N113" i="1" s="1"/>
  <c r="O113" i="1" s="1"/>
  <c r="Q113" i="1" s="1"/>
  <c r="M114" i="1"/>
  <c r="N114" i="1" s="1"/>
  <c r="O114" i="1" s="1"/>
  <c r="Q114" i="1" s="1"/>
  <c r="M115" i="1"/>
  <c r="N115" i="1" s="1"/>
  <c r="O115" i="1" s="1"/>
  <c r="Q115" i="1" s="1"/>
  <c r="M116" i="1"/>
  <c r="N116" i="1" s="1"/>
  <c r="O116" i="1" s="1"/>
  <c r="Q116" i="1" s="1"/>
  <c r="M117" i="1"/>
  <c r="N117" i="1" s="1"/>
  <c r="O117" i="1" s="1"/>
  <c r="Q117" i="1" s="1"/>
  <c r="M118" i="1"/>
  <c r="N118" i="1" s="1"/>
  <c r="O118" i="1" s="1"/>
  <c r="Q118" i="1" s="1"/>
  <c r="M119" i="1"/>
  <c r="N119" i="1" s="1"/>
  <c r="O119" i="1" s="1"/>
  <c r="Q119" i="1" s="1"/>
  <c r="M120" i="1"/>
  <c r="N120" i="1" s="1"/>
  <c r="O120" i="1" s="1"/>
  <c r="Q120" i="1" s="1"/>
  <c r="M121" i="1"/>
  <c r="N121" i="1" s="1"/>
  <c r="O121" i="1" s="1"/>
  <c r="Q121" i="1" s="1"/>
  <c r="M249" i="1"/>
  <c r="N249" i="1" s="1"/>
  <c r="O249" i="1" s="1"/>
  <c r="M124" i="1"/>
  <c r="N124" i="1" s="1"/>
  <c r="O124" i="1" s="1"/>
  <c r="Q124" i="1" s="1"/>
  <c r="M250" i="1"/>
  <c r="N250" i="1" s="1"/>
  <c r="O250" i="1" s="1"/>
  <c r="M251" i="1"/>
  <c r="N251" i="1" s="1"/>
  <c r="O251" i="1" s="1"/>
  <c r="M125" i="1"/>
  <c r="N125" i="1" s="1"/>
  <c r="O125" i="1" s="1"/>
  <c r="Q125" i="1" s="1"/>
  <c r="M128" i="1"/>
  <c r="N128" i="1" s="1"/>
  <c r="O128" i="1" s="1"/>
  <c r="Q128" i="1" s="1"/>
  <c r="M129" i="1"/>
  <c r="N129" i="1" s="1"/>
  <c r="O129" i="1" s="1"/>
  <c r="Q129" i="1" s="1"/>
  <c r="M130" i="1"/>
  <c r="N130" i="1" s="1"/>
  <c r="O130" i="1" s="1"/>
  <c r="Q130" i="1" s="1"/>
  <c r="M132" i="1"/>
  <c r="N132" i="1" s="1"/>
  <c r="O132" i="1" s="1"/>
  <c r="Q132" i="1" s="1"/>
  <c r="M133" i="1"/>
  <c r="N133" i="1" s="1"/>
  <c r="O133" i="1" s="1"/>
  <c r="Q133" i="1" s="1"/>
  <c r="M134" i="1"/>
  <c r="N134" i="1" s="1"/>
  <c r="O134" i="1" s="1"/>
  <c r="M135" i="1"/>
  <c r="N135" i="1" s="1"/>
  <c r="O135" i="1" s="1"/>
  <c r="Q135" i="1" s="1"/>
  <c r="M136" i="1"/>
  <c r="N136" i="1" s="1"/>
  <c r="O136" i="1" s="1"/>
  <c r="Q136" i="1" s="1"/>
  <c r="M137" i="1"/>
  <c r="N137" i="1" s="1"/>
  <c r="O137" i="1" s="1"/>
  <c r="Q137" i="1" s="1"/>
  <c r="M138" i="1"/>
  <c r="N138" i="1" s="1"/>
  <c r="O138" i="1" s="1"/>
  <c r="Q138" i="1" s="1"/>
  <c r="M139" i="1"/>
  <c r="N139" i="1" s="1"/>
  <c r="O139" i="1" s="1"/>
  <c r="Q139" i="1" s="1"/>
  <c r="M140" i="1"/>
  <c r="N140" i="1" s="1"/>
  <c r="O140" i="1" s="1"/>
  <c r="Q140" i="1" s="1"/>
  <c r="M141" i="1"/>
  <c r="N141" i="1" s="1"/>
  <c r="O141" i="1" s="1"/>
  <c r="Q141" i="1" s="1"/>
  <c r="M142" i="1"/>
  <c r="N142" i="1" s="1"/>
  <c r="O142" i="1" s="1"/>
  <c r="Q142" i="1" s="1"/>
  <c r="M143" i="1"/>
  <c r="N143" i="1" s="1"/>
  <c r="O143" i="1" s="1"/>
  <c r="Q143" i="1" s="1"/>
  <c r="M144" i="1"/>
  <c r="N144" i="1" s="1"/>
  <c r="O144" i="1" s="1"/>
  <c r="Q144" i="1" s="1"/>
  <c r="M145" i="1"/>
  <c r="N145" i="1" s="1"/>
  <c r="O145" i="1" s="1"/>
  <c r="Q145" i="1" s="1"/>
  <c r="M146" i="1"/>
  <c r="N146" i="1" s="1"/>
  <c r="O146" i="1" s="1"/>
  <c r="Q146" i="1" s="1"/>
  <c r="M147" i="1"/>
  <c r="N147" i="1" s="1"/>
  <c r="O147" i="1" s="1"/>
  <c r="Q147" i="1" s="1"/>
  <c r="M148" i="1"/>
  <c r="N148" i="1" s="1"/>
  <c r="O148" i="1" s="1"/>
  <c r="Q148" i="1" s="1"/>
  <c r="M149" i="1"/>
  <c r="N149" i="1" s="1"/>
  <c r="O149" i="1" s="1"/>
  <c r="Q149" i="1" s="1"/>
  <c r="M150" i="1"/>
  <c r="N150" i="1" s="1"/>
  <c r="O150" i="1" s="1"/>
  <c r="Q150" i="1" s="1"/>
  <c r="M151" i="1"/>
  <c r="N151" i="1" s="1"/>
  <c r="O151" i="1" s="1"/>
  <c r="Q151" i="1" s="1"/>
  <c r="M152" i="1"/>
  <c r="N152" i="1" s="1"/>
  <c r="O152" i="1" s="1"/>
  <c r="Q152" i="1" s="1"/>
  <c r="M153" i="1"/>
  <c r="N153" i="1" s="1"/>
  <c r="O153" i="1" s="1"/>
  <c r="Q153" i="1" s="1"/>
  <c r="M154" i="1"/>
  <c r="N154" i="1" s="1"/>
  <c r="O154" i="1" s="1"/>
  <c r="Q154" i="1" s="1"/>
  <c r="M155" i="1"/>
  <c r="N155" i="1" s="1"/>
  <c r="O155" i="1" s="1"/>
  <c r="Q155" i="1" s="1"/>
  <c r="M156" i="1"/>
  <c r="N156" i="1" s="1"/>
  <c r="O156" i="1" s="1"/>
  <c r="Q156" i="1" s="1"/>
  <c r="M157" i="1"/>
  <c r="N157" i="1" s="1"/>
  <c r="O157" i="1" s="1"/>
  <c r="Q157" i="1" s="1"/>
  <c r="M158" i="1"/>
  <c r="N158" i="1" s="1"/>
  <c r="O158" i="1" s="1"/>
  <c r="Q158" i="1" s="1"/>
  <c r="M159" i="1"/>
  <c r="N159" i="1" s="1"/>
  <c r="O159" i="1" s="1"/>
  <c r="Q159" i="1" s="1"/>
  <c r="M160" i="1"/>
  <c r="N160" i="1" s="1"/>
  <c r="O160" i="1" s="1"/>
  <c r="Q160" i="1" s="1"/>
  <c r="M162" i="1"/>
  <c r="N162" i="1" s="1"/>
  <c r="O162" i="1" s="1"/>
  <c r="Q162" i="1" s="1"/>
  <c r="M163" i="1"/>
  <c r="N163" i="1" s="1"/>
  <c r="O163" i="1" s="1"/>
  <c r="Q163" i="1" s="1"/>
  <c r="M164" i="1"/>
  <c r="N164" i="1" s="1"/>
  <c r="O164" i="1" s="1"/>
  <c r="Q164" i="1" s="1"/>
  <c r="M165" i="1"/>
  <c r="N165" i="1" s="1"/>
  <c r="O165" i="1" s="1"/>
  <c r="Q165" i="1" s="1"/>
  <c r="M166" i="1"/>
  <c r="N166" i="1" s="1"/>
  <c r="O166" i="1" s="1"/>
  <c r="Q166" i="1" s="1"/>
  <c r="M167" i="1"/>
  <c r="N167" i="1" s="1"/>
  <c r="O167" i="1" s="1"/>
  <c r="Q167" i="1" s="1"/>
  <c r="M168" i="1"/>
  <c r="N168" i="1" s="1"/>
  <c r="O168" i="1" s="1"/>
  <c r="Q168" i="1" s="1"/>
  <c r="M169" i="1"/>
  <c r="N169" i="1" s="1"/>
  <c r="O169" i="1" s="1"/>
  <c r="Q169" i="1" s="1"/>
  <c r="M170" i="1"/>
  <c r="N170" i="1" s="1"/>
  <c r="O170" i="1" s="1"/>
  <c r="Q170" i="1" s="1"/>
  <c r="M171" i="1"/>
  <c r="N171" i="1" s="1"/>
  <c r="O171" i="1" s="1"/>
  <c r="Q171" i="1" s="1"/>
  <c r="M172" i="1"/>
  <c r="N172" i="1" s="1"/>
  <c r="O172" i="1" s="1"/>
  <c r="Q172" i="1" s="1"/>
  <c r="M173" i="1"/>
  <c r="N173" i="1" s="1"/>
  <c r="O173" i="1" s="1"/>
  <c r="Q173" i="1" s="1"/>
  <c r="M174" i="1"/>
  <c r="N174" i="1" s="1"/>
  <c r="O174" i="1" s="1"/>
  <c r="Q174" i="1" s="1"/>
  <c r="M175" i="1"/>
  <c r="N175" i="1" s="1"/>
  <c r="O175" i="1" s="1"/>
  <c r="Q175" i="1" s="1"/>
  <c r="M176" i="1"/>
  <c r="N176" i="1" s="1"/>
  <c r="O176" i="1" s="1"/>
  <c r="Q176" i="1" s="1"/>
  <c r="M177" i="1"/>
  <c r="N177" i="1" s="1"/>
  <c r="O177" i="1" s="1"/>
  <c r="Q177" i="1" s="1"/>
  <c r="M178" i="1"/>
  <c r="N178" i="1" s="1"/>
  <c r="O178" i="1" s="1"/>
  <c r="Q178" i="1" s="1"/>
  <c r="M179" i="1"/>
  <c r="N179" i="1" s="1"/>
  <c r="O179" i="1" s="1"/>
  <c r="Q179" i="1" s="1"/>
  <c r="M180" i="1"/>
  <c r="N180" i="1" s="1"/>
  <c r="O180" i="1" s="1"/>
  <c r="Q180" i="1" s="1"/>
  <c r="M181" i="1"/>
  <c r="N181" i="1" s="1"/>
  <c r="O181" i="1" s="1"/>
  <c r="Q181" i="1" s="1"/>
  <c r="M182" i="1"/>
  <c r="N182" i="1" s="1"/>
  <c r="O182" i="1" s="1"/>
  <c r="Q182" i="1" s="1"/>
  <c r="M183" i="1"/>
  <c r="N183" i="1" s="1"/>
  <c r="O183" i="1" s="1"/>
  <c r="Q183" i="1" s="1"/>
  <c r="M131" i="1"/>
  <c r="N131" i="1" s="1"/>
  <c r="O131" i="1" s="1"/>
  <c r="M184" i="1"/>
  <c r="N184" i="1" s="1"/>
  <c r="O184" i="1" s="1"/>
  <c r="Q184" i="1" s="1"/>
  <c r="M185" i="1"/>
  <c r="N185" i="1" s="1"/>
  <c r="O185" i="1" s="1"/>
  <c r="Q185" i="1" s="1"/>
  <c r="M187" i="1"/>
  <c r="N187" i="1" s="1"/>
  <c r="O187" i="1" s="1"/>
  <c r="Q187" i="1" s="1"/>
  <c r="M188" i="1"/>
  <c r="N188" i="1" s="1"/>
  <c r="O188" i="1" s="1"/>
  <c r="Q188" i="1" s="1"/>
  <c r="M189" i="1"/>
  <c r="N189" i="1" s="1"/>
  <c r="O189" i="1" s="1"/>
  <c r="Q189" i="1" s="1"/>
  <c r="M190" i="1"/>
  <c r="N190" i="1" s="1"/>
  <c r="O190" i="1" s="1"/>
  <c r="Q190" i="1" s="1"/>
  <c r="M191" i="1"/>
  <c r="N191" i="1" s="1"/>
  <c r="O191" i="1" s="1"/>
  <c r="Q191" i="1" s="1"/>
  <c r="M192" i="1"/>
  <c r="N192" i="1" s="1"/>
  <c r="O192" i="1" s="1"/>
  <c r="Q192" i="1" s="1"/>
  <c r="M193" i="1"/>
  <c r="N193" i="1" s="1"/>
  <c r="O193" i="1" s="1"/>
  <c r="Q193" i="1" s="1"/>
  <c r="M194" i="1"/>
  <c r="N194" i="1" s="1"/>
  <c r="O194" i="1" s="1"/>
  <c r="Q194" i="1" s="1"/>
  <c r="M195" i="1"/>
  <c r="N195" i="1" s="1"/>
  <c r="O195" i="1" s="1"/>
  <c r="Q195" i="1" s="1"/>
  <c r="M196" i="1"/>
  <c r="N196" i="1" s="1"/>
  <c r="O196" i="1" s="1"/>
  <c r="Q196" i="1" s="1"/>
  <c r="M197" i="1"/>
  <c r="N197" i="1" s="1"/>
  <c r="O197" i="1" s="1"/>
  <c r="Q197" i="1" s="1"/>
  <c r="M198" i="1"/>
  <c r="N198" i="1" s="1"/>
  <c r="O198" i="1" s="1"/>
  <c r="Q198" i="1" s="1"/>
  <c r="M199" i="1"/>
  <c r="N199" i="1" s="1"/>
  <c r="O199" i="1" s="1"/>
  <c r="Q199" i="1" s="1"/>
  <c r="M200" i="1"/>
  <c r="N200" i="1" s="1"/>
  <c r="O200" i="1" s="1"/>
  <c r="Q200" i="1" s="1"/>
  <c r="M201" i="1"/>
  <c r="N201" i="1" s="1"/>
  <c r="O201" i="1" s="1"/>
  <c r="Q201" i="1" s="1"/>
  <c r="M202" i="1"/>
  <c r="N202" i="1" s="1"/>
  <c r="O202" i="1" s="1"/>
  <c r="M203" i="1"/>
  <c r="N203" i="1" s="1"/>
  <c r="O203" i="1" s="1"/>
  <c r="Q203" i="1" s="1"/>
  <c r="M204" i="1"/>
  <c r="N204" i="1" s="1"/>
  <c r="O204" i="1" s="1"/>
  <c r="Q204" i="1" s="1"/>
  <c r="M205" i="1"/>
  <c r="N205" i="1" s="1"/>
  <c r="O205" i="1" s="1"/>
  <c r="Q205" i="1" s="1"/>
  <c r="M206" i="1"/>
  <c r="N206" i="1" s="1"/>
  <c r="O206" i="1" s="1"/>
  <c r="Q206" i="1" s="1"/>
  <c r="M207" i="1"/>
  <c r="N207" i="1" s="1"/>
  <c r="O207" i="1" s="1"/>
  <c r="Q207" i="1" s="1"/>
  <c r="M208" i="1"/>
  <c r="N208" i="1" s="1"/>
  <c r="O208" i="1" s="1"/>
  <c r="Q208" i="1" s="1"/>
  <c r="M209" i="1"/>
  <c r="N209" i="1" s="1"/>
  <c r="O209" i="1" s="1"/>
  <c r="Q209" i="1" s="1"/>
  <c r="M210" i="1"/>
  <c r="N210" i="1" s="1"/>
  <c r="O210" i="1" s="1"/>
  <c r="Q210" i="1" s="1"/>
  <c r="M211" i="1"/>
  <c r="N211" i="1" s="1"/>
  <c r="O211" i="1" s="1"/>
  <c r="Q211" i="1" s="1"/>
  <c r="M212" i="1"/>
  <c r="N212" i="1" s="1"/>
  <c r="O212" i="1" s="1"/>
  <c r="Q212" i="1" s="1"/>
  <c r="M213" i="1"/>
  <c r="N213" i="1" s="1"/>
  <c r="O213" i="1" s="1"/>
  <c r="Q213" i="1" s="1"/>
  <c r="M214" i="1"/>
  <c r="N214" i="1" s="1"/>
  <c r="O214" i="1" s="1"/>
  <c r="Q214" i="1" s="1"/>
  <c r="M215" i="1"/>
  <c r="N215" i="1" s="1"/>
  <c r="O215" i="1" s="1"/>
  <c r="Q215" i="1" s="1"/>
  <c r="M216" i="1"/>
  <c r="N216" i="1" s="1"/>
  <c r="O216" i="1" s="1"/>
  <c r="Q216" i="1" s="1"/>
  <c r="M217" i="1"/>
  <c r="N217" i="1" s="1"/>
  <c r="O217" i="1" s="1"/>
  <c r="Q217" i="1" s="1"/>
  <c r="M218" i="1"/>
  <c r="N218" i="1" s="1"/>
  <c r="O218" i="1" s="1"/>
  <c r="Q218" i="1" s="1"/>
  <c r="M219" i="1"/>
  <c r="N219" i="1" s="1"/>
  <c r="O219" i="1" s="1"/>
  <c r="Q219" i="1" s="1"/>
  <c r="M220" i="1"/>
  <c r="N220" i="1" s="1"/>
  <c r="O220" i="1" s="1"/>
  <c r="Q220" i="1" s="1"/>
  <c r="M221" i="1"/>
  <c r="N221" i="1" s="1"/>
  <c r="O221" i="1" s="1"/>
  <c r="Q221" i="1" s="1"/>
  <c r="M222" i="1"/>
  <c r="N222" i="1" s="1"/>
  <c r="O222" i="1" s="1"/>
  <c r="Q222" i="1" s="1"/>
  <c r="M223" i="1"/>
  <c r="N223" i="1" s="1"/>
  <c r="O223" i="1" s="1"/>
  <c r="Q223" i="1" s="1"/>
  <c r="M224" i="1"/>
  <c r="N224" i="1" s="1"/>
  <c r="O224" i="1" s="1"/>
  <c r="Q224" i="1" s="1"/>
  <c r="M225" i="1"/>
  <c r="N225" i="1" s="1"/>
  <c r="O225" i="1" s="1"/>
  <c r="Q225" i="1" s="1"/>
  <c r="M226" i="1"/>
  <c r="N226" i="1" s="1"/>
  <c r="O226" i="1" s="1"/>
  <c r="Q226" i="1" s="1"/>
  <c r="M228" i="1"/>
  <c r="N228" i="1" s="1"/>
  <c r="O228" i="1" s="1"/>
  <c r="Q228" i="1" s="1"/>
  <c r="M229" i="1"/>
  <c r="N229" i="1" s="1"/>
  <c r="O229" i="1" s="1"/>
  <c r="Q229" i="1" s="1"/>
  <c r="M80" i="1"/>
  <c r="N80" i="1" s="1"/>
  <c r="O80" i="1" s="1"/>
  <c r="M230" i="1"/>
  <c r="N230" i="1" s="1"/>
  <c r="O230" i="1" s="1"/>
  <c r="Q230" i="1" s="1"/>
  <c r="M231" i="1"/>
  <c r="N231" i="1" s="1"/>
  <c r="O231" i="1" s="1"/>
  <c r="Q231" i="1" s="1"/>
  <c r="M327" i="1"/>
  <c r="N327" i="1" s="1"/>
  <c r="O327" i="1" s="1"/>
  <c r="M232" i="1"/>
  <c r="N232" i="1" s="1"/>
  <c r="O232" i="1" s="1"/>
  <c r="Q232" i="1" s="1"/>
  <c r="M233" i="1"/>
  <c r="N233" i="1" s="1"/>
  <c r="O233" i="1" s="1"/>
  <c r="Q233" i="1" s="1"/>
  <c r="M81" i="1"/>
  <c r="N81" i="1" s="1"/>
  <c r="O81" i="1" s="1"/>
  <c r="M234" i="1"/>
  <c r="N234" i="1" s="1"/>
  <c r="O234" i="1" s="1"/>
  <c r="Q234" i="1" s="1"/>
  <c r="M235" i="1"/>
  <c r="N235" i="1" s="1"/>
  <c r="O235" i="1" s="1"/>
  <c r="Q235" i="1" s="1"/>
  <c r="M236" i="1"/>
  <c r="N236" i="1" s="1"/>
  <c r="O236" i="1" s="1"/>
  <c r="Q236" i="1" s="1"/>
  <c r="M237" i="1"/>
  <c r="N237" i="1" s="1"/>
  <c r="O237" i="1" s="1"/>
  <c r="Q237" i="1" s="1"/>
  <c r="M238" i="1"/>
  <c r="N238" i="1" s="1"/>
  <c r="O238" i="1" s="1"/>
  <c r="Q238" i="1" s="1"/>
  <c r="M26" i="1"/>
  <c r="N26" i="1" s="1"/>
  <c r="O26" i="1" s="1"/>
  <c r="M239" i="1"/>
  <c r="N239" i="1" s="1"/>
  <c r="O239" i="1" s="1"/>
  <c r="Q239" i="1" s="1"/>
  <c r="M240" i="1"/>
  <c r="N240" i="1" s="1"/>
  <c r="O240" i="1" s="1"/>
  <c r="Q240" i="1" s="1"/>
  <c r="M186" i="1"/>
  <c r="N186" i="1" s="1"/>
  <c r="O186" i="1" s="1"/>
  <c r="M241" i="1"/>
  <c r="N241" i="1" s="1"/>
  <c r="O241" i="1" s="1"/>
  <c r="Q241" i="1" s="1"/>
  <c r="M242" i="1"/>
  <c r="N242" i="1" s="1"/>
  <c r="O242" i="1" s="1"/>
  <c r="Q242" i="1" s="1"/>
  <c r="M243" i="1"/>
  <c r="N243" i="1" s="1"/>
  <c r="O243" i="1" s="1"/>
  <c r="Q243" i="1" s="1"/>
  <c r="M244" i="1"/>
  <c r="N244" i="1" s="1"/>
  <c r="O244" i="1" s="1"/>
  <c r="Q244" i="1" s="1"/>
  <c r="M245" i="1"/>
  <c r="N245" i="1" s="1"/>
  <c r="O245" i="1" s="1"/>
  <c r="Q245" i="1" s="1"/>
  <c r="M246" i="1"/>
  <c r="N246" i="1" s="1"/>
  <c r="O246" i="1" s="1"/>
  <c r="Q246" i="1" s="1"/>
  <c r="M247" i="1"/>
  <c r="N247" i="1" s="1"/>
  <c r="O247" i="1" s="1"/>
  <c r="Q247" i="1" s="1"/>
  <c r="M248" i="1"/>
  <c r="N248" i="1" s="1"/>
  <c r="O248" i="1" s="1"/>
  <c r="Q248" i="1" s="1"/>
  <c r="M252" i="1"/>
  <c r="N252" i="1" s="1"/>
  <c r="O252" i="1" s="1"/>
  <c r="Q252" i="1" s="1"/>
  <c r="M253" i="1"/>
  <c r="N253" i="1" s="1"/>
  <c r="O253" i="1" s="1"/>
  <c r="Q253" i="1" s="1"/>
  <c r="M122" i="1"/>
  <c r="N122" i="1" s="1"/>
  <c r="O122" i="1" s="1"/>
  <c r="M126" i="1"/>
  <c r="N126" i="1" s="1"/>
  <c r="O126" i="1" s="1"/>
  <c r="M254" i="1"/>
  <c r="N254" i="1" s="1"/>
  <c r="O254" i="1" s="1"/>
  <c r="Q254" i="1" s="1"/>
  <c r="M255" i="1"/>
  <c r="N255" i="1" s="1"/>
  <c r="O255" i="1" s="1"/>
  <c r="Q255" i="1" s="1"/>
  <c r="M256" i="1"/>
  <c r="N256" i="1" s="1"/>
  <c r="O256" i="1" s="1"/>
  <c r="Q256" i="1" s="1"/>
  <c r="M257" i="1"/>
  <c r="N257" i="1" s="1"/>
  <c r="O257" i="1" s="1"/>
  <c r="Q257" i="1" s="1"/>
  <c r="M127" i="1"/>
  <c r="N127" i="1" s="1"/>
  <c r="O127" i="1" s="1"/>
  <c r="M123" i="1"/>
  <c r="N123" i="1" s="1"/>
  <c r="O123" i="1" s="1"/>
  <c r="M258" i="1"/>
  <c r="N258" i="1" s="1"/>
  <c r="O258" i="1" s="1"/>
  <c r="Q258" i="1" s="1"/>
  <c r="M260" i="1"/>
  <c r="N260" i="1" s="1"/>
  <c r="O260" i="1" s="1"/>
  <c r="Q260" i="1" s="1"/>
  <c r="M261" i="1"/>
  <c r="N261" i="1" s="1"/>
  <c r="O261" i="1" s="1"/>
  <c r="Q261" i="1" s="1"/>
  <c r="M262" i="1"/>
  <c r="N262" i="1" s="1"/>
  <c r="O262" i="1" s="1"/>
  <c r="Q262" i="1" s="1"/>
  <c r="M263" i="1"/>
  <c r="N263" i="1" s="1"/>
  <c r="O263" i="1" s="1"/>
  <c r="Q263" i="1" s="1"/>
  <c r="M264" i="1"/>
  <c r="N264" i="1" s="1"/>
  <c r="O264" i="1" s="1"/>
  <c r="Q264" i="1" s="1"/>
  <c r="M265" i="1"/>
  <c r="N265" i="1" s="1"/>
  <c r="O265" i="1" s="1"/>
  <c r="M266" i="1"/>
  <c r="N266" i="1" s="1"/>
  <c r="O266" i="1" s="1"/>
  <c r="Q266" i="1" s="1"/>
  <c r="M267" i="1"/>
  <c r="N267" i="1" s="1"/>
  <c r="O267" i="1" s="1"/>
  <c r="Q267" i="1" s="1"/>
  <c r="M268" i="1"/>
  <c r="N268" i="1" s="1"/>
  <c r="O268" i="1" s="1"/>
  <c r="Q268" i="1" s="1"/>
  <c r="M269" i="1"/>
  <c r="N269" i="1" s="1"/>
  <c r="O269" i="1" s="1"/>
  <c r="Q269" i="1" s="1"/>
  <c r="M270" i="1"/>
  <c r="N270" i="1" s="1"/>
  <c r="O270" i="1" s="1"/>
  <c r="Q270" i="1" s="1"/>
  <c r="M271" i="1"/>
  <c r="N271" i="1" s="1"/>
  <c r="O271" i="1" s="1"/>
  <c r="Q271" i="1" s="1"/>
  <c r="M272" i="1"/>
  <c r="N272" i="1" s="1"/>
  <c r="O272" i="1" s="1"/>
  <c r="Q272" i="1" s="1"/>
  <c r="M273" i="1"/>
  <c r="N273" i="1" s="1"/>
  <c r="O273" i="1" s="1"/>
  <c r="Q273" i="1" s="1"/>
  <c r="M274" i="1"/>
  <c r="N274" i="1" s="1"/>
  <c r="O274" i="1" s="1"/>
  <c r="Q274" i="1" s="1"/>
  <c r="M275" i="1"/>
  <c r="N275" i="1" s="1"/>
  <c r="O275" i="1" s="1"/>
  <c r="Q275" i="1" s="1"/>
  <c r="M276" i="1"/>
  <c r="N276" i="1" s="1"/>
  <c r="O276" i="1" s="1"/>
  <c r="Q276" i="1" s="1"/>
  <c r="M277" i="1"/>
  <c r="N277" i="1" s="1"/>
  <c r="O277" i="1" s="1"/>
  <c r="Q277" i="1" s="1"/>
  <c r="M278" i="1"/>
  <c r="N278" i="1" s="1"/>
  <c r="O278" i="1" s="1"/>
  <c r="Q278" i="1" s="1"/>
  <c r="M279" i="1"/>
  <c r="N279" i="1" s="1"/>
  <c r="O279" i="1" s="1"/>
  <c r="Q279" i="1" s="1"/>
  <c r="M280" i="1"/>
  <c r="N280" i="1" s="1"/>
  <c r="O280" i="1" s="1"/>
  <c r="Q280" i="1" s="1"/>
  <c r="M281" i="1"/>
  <c r="N281" i="1" s="1"/>
  <c r="O281" i="1" s="1"/>
  <c r="Q281" i="1" s="1"/>
  <c r="M282" i="1"/>
  <c r="N282" i="1" s="1"/>
  <c r="O282" i="1" s="1"/>
  <c r="Q282" i="1" s="1"/>
  <c r="M283" i="1"/>
  <c r="N283" i="1" s="1"/>
  <c r="O283" i="1" s="1"/>
  <c r="M284" i="1"/>
  <c r="N284" i="1" s="1"/>
  <c r="O284" i="1" s="1"/>
  <c r="Q284" i="1" s="1"/>
  <c r="M318" i="1"/>
  <c r="N318" i="1" s="1"/>
  <c r="O318" i="1" s="1"/>
  <c r="M285" i="1"/>
  <c r="N285" i="1" s="1"/>
  <c r="O285" i="1" s="1"/>
  <c r="Q285" i="1" s="1"/>
  <c r="M286" i="1"/>
  <c r="N286" i="1" s="1"/>
  <c r="O286" i="1" s="1"/>
  <c r="Q286" i="1" s="1"/>
  <c r="M287" i="1"/>
  <c r="N287" i="1" s="1"/>
  <c r="O287" i="1" s="1"/>
  <c r="Q287" i="1" s="1"/>
  <c r="M288" i="1"/>
  <c r="N288" i="1" s="1"/>
  <c r="O288" i="1" s="1"/>
  <c r="Q288" i="1" s="1"/>
  <c r="M289" i="1"/>
  <c r="N289" i="1" s="1"/>
  <c r="O289" i="1" s="1"/>
  <c r="Q289" i="1" s="1"/>
  <c r="M290" i="1"/>
  <c r="N290" i="1" s="1"/>
  <c r="O290" i="1" s="1"/>
  <c r="Q290" i="1" s="1"/>
  <c r="M291" i="1"/>
  <c r="N291" i="1" s="1"/>
  <c r="O291" i="1" s="1"/>
  <c r="Q291" i="1" s="1"/>
  <c r="M292" i="1"/>
  <c r="N292" i="1" s="1"/>
  <c r="O292" i="1" s="1"/>
  <c r="Q292" i="1" s="1"/>
  <c r="M294" i="1"/>
  <c r="N294" i="1" s="1"/>
  <c r="O294" i="1" s="1"/>
  <c r="Q294" i="1" s="1"/>
  <c r="M295" i="1"/>
  <c r="N295" i="1" s="1"/>
  <c r="O295" i="1" s="1"/>
  <c r="Q295" i="1" s="1"/>
  <c r="M296" i="1"/>
  <c r="N296" i="1" s="1"/>
  <c r="O296" i="1" s="1"/>
  <c r="Q296" i="1" s="1"/>
  <c r="M297" i="1"/>
  <c r="N297" i="1" s="1"/>
  <c r="O297" i="1" s="1"/>
  <c r="Q297" i="1" s="1"/>
  <c r="M298" i="1"/>
  <c r="N298" i="1" s="1"/>
  <c r="O298" i="1" s="1"/>
  <c r="Q298" i="1" s="1"/>
  <c r="M299" i="1"/>
  <c r="N299" i="1" s="1"/>
  <c r="O299" i="1" s="1"/>
  <c r="Q299" i="1" s="1"/>
  <c r="M300" i="1"/>
  <c r="N300" i="1" s="1"/>
  <c r="O300" i="1" s="1"/>
  <c r="Q300" i="1" s="1"/>
  <c r="M301" i="1"/>
  <c r="N301" i="1" s="1"/>
  <c r="O301" i="1" s="1"/>
  <c r="Q301" i="1" s="1"/>
  <c r="M302" i="1"/>
  <c r="N302" i="1" s="1"/>
  <c r="O302" i="1" s="1"/>
  <c r="Q302" i="1" s="1"/>
  <c r="M303" i="1"/>
  <c r="N303" i="1" s="1"/>
  <c r="O303" i="1" s="1"/>
  <c r="Q303" i="1" s="1"/>
  <c r="M304" i="1"/>
  <c r="N304" i="1" s="1"/>
  <c r="O304" i="1" s="1"/>
  <c r="Q304" i="1" s="1"/>
  <c r="M305" i="1"/>
  <c r="N305" i="1" s="1"/>
  <c r="O305" i="1" s="1"/>
  <c r="Q305" i="1" s="1"/>
  <c r="M306" i="1"/>
  <c r="N306" i="1" s="1"/>
  <c r="O306" i="1" s="1"/>
  <c r="Q306" i="1" s="1"/>
  <c r="M309" i="1"/>
  <c r="N309" i="1" s="1"/>
  <c r="O309" i="1" s="1"/>
  <c r="Q309" i="1" s="1"/>
  <c r="M310" i="1"/>
  <c r="N310" i="1" s="1"/>
  <c r="O310" i="1" s="1"/>
  <c r="Q310" i="1" s="1"/>
  <c r="M82" i="1"/>
  <c r="N82" i="1" s="1"/>
  <c r="O82" i="1" s="1"/>
  <c r="M311" i="1"/>
  <c r="N311" i="1" s="1"/>
  <c r="O311" i="1" s="1"/>
  <c r="Q311" i="1" s="1"/>
  <c r="M312" i="1"/>
  <c r="N312" i="1" s="1"/>
  <c r="O312" i="1" s="1"/>
  <c r="Q312" i="1" s="1"/>
  <c r="M313" i="1"/>
  <c r="N313" i="1" s="1"/>
  <c r="O313" i="1" s="1"/>
  <c r="Q313" i="1" s="1"/>
  <c r="M314" i="1"/>
  <c r="N314" i="1" s="1"/>
  <c r="O314" i="1" s="1"/>
  <c r="Q314" i="1" s="1"/>
  <c r="M315" i="1"/>
  <c r="N315" i="1" s="1"/>
  <c r="O315" i="1" s="1"/>
  <c r="Q315" i="1" s="1"/>
  <c r="M317" i="1"/>
  <c r="N317" i="1" s="1"/>
  <c r="O317" i="1" s="1"/>
  <c r="Q317" i="1" s="1"/>
  <c r="M319" i="1"/>
  <c r="N319" i="1" s="1"/>
  <c r="O319" i="1" s="1"/>
  <c r="Q319" i="1" s="1"/>
  <c r="M293" i="1"/>
  <c r="N293" i="1" s="1"/>
  <c r="O293" i="1" s="1"/>
  <c r="M320" i="1"/>
  <c r="N320" i="1" s="1"/>
  <c r="O320" i="1" s="1"/>
  <c r="Q320" i="1" s="1"/>
  <c r="M321" i="1"/>
  <c r="N321" i="1" s="1"/>
  <c r="O321" i="1" s="1"/>
  <c r="Q321" i="1" s="1"/>
  <c r="M322" i="1"/>
  <c r="N322" i="1" s="1"/>
  <c r="O322" i="1" s="1"/>
  <c r="Q322" i="1" s="1"/>
  <c r="M323" i="1"/>
  <c r="N323" i="1" s="1"/>
  <c r="O323" i="1" s="1"/>
  <c r="Q323" i="1" s="1"/>
  <c r="M324" i="1"/>
  <c r="N324" i="1" s="1"/>
  <c r="O324" i="1" s="1"/>
  <c r="Q324" i="1" s="1"/>
  <c r="M325" i="1"/>
  <c r="N325" i="1" s="1"/>
  <c r="O325" i="1" s="1"/>
  <c r="Q325" i="1" s="1"/>
  <c r="M326" i="1"/>
  <c r="N326" i="1" s="1"/>
  <c r="O326" i="1" s="1"/>
  <c r="Q326" i="1" s="1"/>
  <c r="M328" i="1"/>
  <c r="N328" i="1" s="1"/>
  <c r="O328" i="1" s="1"/>
  <c r="Q328" i="1" s="1"/>
  <c r="M329" i="1"/>
  <c r="N329" i="1" s="1"/>
  <c r="O329" i="1" s="1"/>
  <c r="Q329" i="1" s="1"/>
  <c r="M350" i="1"/>
  <c r="N350" i="1" s="1"/>
  <c r="O350" i="1" s="1"/>
  <c r="M330" i="1"/>
  <c r="N330" i="1" s="1"/>
  <c r="O330" i="1" s="1"/>
  <c r="Q330" i="1" s="1"/>
  <c r="M331" i="1"/>
  <c r="N331" i="1" s="1"/>
  <c r="O331" i="1" s="1"/>
  <c r="Q331" i="1" s="1"/>
  <c r="M332" i="1"/>
  <c r="N332" i="1" s="1"/>
  <c r="O332" i="1" s="1"/>
  <c r="Q332" i="1" s="1"/>
  <c r="M333" i="1"/>
  <c r="N333" i="1" s="1"/>
  <c r="O333" i="1" s="1"/>
  <c r="Q333" i="1" s="1"/>
  <c r="M351" i="1"/>
  <c r="N351" i="1" s="1"/>
  <c r="O351" i="1" s="1"/>
  <c r="M362" i="1"/>
  <c r="N362" i="1" s="1"/>
  <c r="O362" i="1" s="1"/>
  <c r="M334" i="1"/>
  <c r="N334" i="1" s="1"/>
  <c r="O334" i="1" s="1"/>
  <c r="Q334" i="1" s="1"/>
  <c r="M335" i="1"/>
  <c r="N335" i="1" s="1"/>
  <c r="O335" i="1" s="1"/>
  <c r="Q335" i="1" s="1"/>
  <c r="M336" i="1"/>
  <c r="N336" i="1" s="1"/>
  <c r="O336" i="1" s="1"/>
  <c r="Q336" i="1" s="1"/>
  <c r="M337" i="1"/>
  <c r="N337" i="1" s="1"/>
  <c r="O337" i="1" s="1"/>
  <c r="Q337" i="1" s="1"/>
  <c r="M363" i="1"/>
  <c r="N363" i="1" s="1"/>
  <c r="O363" i="1" s="1"/>
  <c r="M338" i="1"/>
  <c r="N338" i="1" s="1"/>
  <c r="O338" i="1" s="1"/>
  <c r="Q338" i="1" s="1"/>
  <c r="M339" i="1"/>
  <c r="N339" i="1" s="1"/>
  <c r="O339" i="1" s="1"/>
  <c r="Q339" i="1" s="1"/>
  <c r="M340" i="1"/>
  <c r="N340" i="1" s="1"/>
  <c r="O340" i="1" s="1"/>
  <c r="Q340" i="1" s="1"/>
  <c r="M341" i="1"/>
  <c r="N341" i="1" s="1"/>
  <c r="O341" i="1" s="1"/>
  <c r="Q341" i="1" s="1"/>
  <c r="M342" i="1"/>
  <c r="N342" i="1" s="1"/>
  <c r="O342" i="1" s="1"/>
  <c r="Q342" i="1" s="1"/>
  <c r="M343" i="1"/>
  <c r="N343" i="1" s="1"/>
  <c r="O343" i="1" s="1"/>
  <c r="Q343" i="1" s="1"/>
  <c r="M347" i="1"/>
  <c r="N347" i="1" s="1"/>
  <c r="O347" i="1" s="1"/>
  <c r="Q347" i="1" s="1"/>
  <c r="M348" i="1"/>
  <c r="N348" i="1" s="1"/>
  <c r="O348" i="1" s="1"/>
  <c r="Q348" i="1" s="1"/>
  <c r="M259" i="1"/>
  <c r="N259" i="1" s="1"/>
  <c r="O259" i="1" s="1"/>
  <c r="M352" i="1"/>
  <c r="N352" i="1" s="1"/>
  <c r="O352" i="1" s="1"/>
  <c r="Q352" i="1" s="1"/>
  <c r="M353" i="1"/>
  <c r="N353" i="1" s="1"/>
  <c r="O353" i="1" s="1"/>
  <c r="Q353" i="1" s="1"/>
  <c r="M316" i="1"/>
  <c r="N316" i="1" s="1"/>
  <c r="O316" i="1" s="1"/>
  <c r="M83" i="1"/>
  <c r="N83" i="1" s="1"/>
  <c r="O83" i="1" s="1"/>
  <c r="M364" i="1"/>
  <c r="N364" i="1" s="1"/>
  <c r="O364" i="1" s="1"/>
  <c r="M365" i="1"/>
  <c r="N365" i="1" s="1"/>
  <c r="O365" i="1" s="1"/>
  <c r="M354" i="1"/>
  <c r="N354" i="1" s="1"/>
  <c r="O354" i="1" s="1"/>
  <c r="Q354" i="1" s="1"/>
  <c r="M355" i="1"/>
  <c r="N355" i="1" s="1"/>
  <c r="O355" i="1" s="1"/>
  <c r="Q355" i="1" s="1"/>
  <c r="M356" i="1"/>
  <c r="N356" i="1" s="1"/>
  <c r="O356" i="1" s="1"/>
  <c r="Q356" i="1" s="1"/>
  <c r="M48" i="1"/>
  <c r="N48" i="1" s="1"/>
  <c r="O48" i="1" s="1"/>
  <c r="M357" i="1"/>
  <c r="N357" i="1" s="1"/>
  <c r="O357" i="1" s="1"/>
  <c r="Q357" i="1" s="1"/>
  <c r="M358" i="1"/>
  <c r="N358" i="1" s="1"/>
  <c r="O358" i="1" s="1"/>
  <c r="Q358" i="1" s="1"/>
  <c r="M359" i="1"/>
  <c r="N359" i="1" s="1"/>
  <c r="O359" i="1" s="1"/>
  <c r="Q359" i="1" s="1"/>
  <c r="M360" i="1"/>
  <c r="N360" i="1" s="1"/>
  <c r="O360" i="1" s="1"/>
  <c r="Q360" i="1" s="1"/>
  <c r="M361" i="1"/>
  <c r="N361" i="1" s="1"/>
  <c r="O361" i="1" s="1"/>
  <c r="Q361" i="1" s="1"/>
  <c r="M366" i="1"/>
  <c r="N366" i="1" s="1"/>
  <c r="O366" i="1" s="1"/>
  <c r="Q366" i="1" s="1"/>
  <c r="M367" i="1"/>
  <c r="N367" i="1" s="1"/>
  <c r="O367" i="1" s="1"/>
  <c r="Q367" i="1" s="1"/>
  <c r="M368" i="1"/>
  <c r="N368" i="1" s="1"/>
  <c r="O368" i="1" s="1"/>
  <c r="M161" i="1"/>
  <c r="N161" i="1" s="1"/>
  <c r="O161" i="1" s="1"/>
  <c r="M344" i="1"/>
  <c r="N344" i="1" s="1"/>
  <c r="O344" i="1" s="1"/>
  <c r="M369" i="1"/>
  <c r="N369" i="1" s="1"/>
  <c r="O369" i="1" s="1"/>
  <c r="Q369" i="1" s="1"/>
  <c r="M370" i="1"/>
  <c r="N370" i="1" s="1"/>
  <c r="O370" i="1" s="1"/>
  <c r="Q370" i="1" s="1"/>
  <c r="M371" i="1"/>
  <c r="N371" i="1" s="1"/>
  <c r="O371" i="1" s="1"/>
  <c r="Q371" i="1" s="1"/>
  <c r="M372" i="1"/>
  <c r="N372" i="1" s="1"/>
  <c r="O372" i="1" s="1"/>
  <c r="Q372" i="1" s="1"/>
  <c r="M373" i="1"/>
  <c r="N373" i="1" s="1"/>
  <c r="O373" i="1" s="1"/>
  <c r="Q373" i="1" s="1"/>
  <c r="M374" i="1"/>
  <c r="N374" i="1" s="1"/>
  <c r="O374" i="1" s="1"/>
  <c r="Q374" i="1" s="1"/>
  <c r="M375" i="1"/>
  <c r="N375" i="1" s="1"/>
  <c r="O375" i="1" s="1"/>
  <c r="Q375" i="1" s="1"/>
  <c r="M376" i="1"/>
  <c r="N376" i="1" s="1"/>
  <c r="O376" i="1" s="1"/>
  <c r="Q376" i="1" s="1"/>
  <c r="M377" i="1"/>
  <c r="N377" i="1" s="1"/>
  <c r="O377" i="1" s="1"/>
  <c r="Q377" i="1" s="1"/>
  <c r="M378" i="1"/>
  <c r="N378" i="1" s="1"/>
  <c r="O378" i="1" s="1"/>
  <c r="Q378" i="1" s="1"/>
  <c r="M379" i="1"/>
  <c r="N379" i="1" s="1"/>
  <c r="O379" i="1" s="1"/>
  <c r="Q379" i="1" s="1"/>
  <c r="M380" i="1"/>
  <c r="N380" i="1" s="1"/>
  <c r="O380" i="1" s="1"/>
  <c r="Q380" i="1" s="1"/>
  <c r="M381" i="1"/>
  <c r="N381" i="1" s="1"/>
  <c r="O381" i="1" s="1"/>
  <c r="Q381" i="1" s="1"/>
  <c r="M382" i="1"/>
  <c r="N382" i="1" s="1"/>
  <c r="O382" i="1" s="1"/>
  <c r="Q382" i="1" s="1"/>
  <c r="M383" i="1"/>
  <c r="N383" i="1" s="1"/>
  <c r="O383" i="1" s="1"/>
  <c r="Q383" i="1" s="1"/>
  <c r="M384" i="1"/>
  <c r="N384" i="1" s="1"/>
  <c r="O384" i="1" s="1"/>
  <c r="Q384" i="1" s="1"/>
  <c r="M385" i="1"/>
  <c r="N385" i="1" s="1"/>
  <c r="O385" i="1" s="1"/>
  <c r="Q385" i="1" s="1"/>
  <c r="M345" i="1"/>
  <c r="N345" i="1" s="1"/>
  <c r="O345" i="1" s="1"/>
  <c r="M386" i="1"/>
  <c r="N386" i="1" s="1"/>
  <c r="O386" i="1" s="1"/>
  <c r="Q386" i="1" s="1"/>
  <c r="M346" i="1"/>
  <c r="N346" i="1" s="1"/>
  <c r="O346" i="1" s="1"/>
  <c r="M387" i="1"/>
  <c r="N387" i="1" s="1"/>
  <c r="O387" i="1" s="1"/>
  <c r="Q387" i="1" s="1"/>
  <c r="M388" i="1"/>
  <c r="N388" i="1" s="1"/>
  <c r="O388" i="1" s="1"/>
  <c r="Q388" i="1" s="1"/>
  <c r="M389" i="1"/>
  <c r="N389" i="1" s="1"/>
  <c r="O389" i="1" s="1"/>
  <c r="Q389" i="1" s="1"/>
  <c r="M390" i="1"/>
  <c r="N390" i="1" s="1"/>
  <c r="O390" i="1" s="1"/>
  <c r="Q390" i="1" s="1"/>
  <c r="M391" i="1"/>
  <c r="N391" i="1" s="1"/>
  <c r="O391" i="1" s="1"/>
  <c r="Q391" i="1" s="1"/>
  <c r="K2" i="3"/>
  <c r="J117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346" i="1"/>
  <c r="K345" i="1"/>
  <c r="K344" i="1"/>
  <c r="K161" i="1"/>
  <c r="K368" i="1"/>
  <c r="K48" i="1"/>
  <c r="K365" i="1"/>
  <c r="K364" i="1"/>
  <c r="K83" i="1"/>
  <c r="K316" i="1"/>
  <c r="K259" i="1"/>
  <c r="K363" i="1"/>
  <c r="K362" i="1"/>
  <c r="K351" i="1"/>
  <c r="K350" i="1"/>
  <c r="K293" i="1"/>
  <c r="K82" i="1"/>
  <c r="K318" i="1"/>
  <c r="Q318" i="1" s="1"/>
  <c r="K283" i="1"/>
  <c r="K265" i="1"/>
  <c r="K123" i="1"/>
  <c r="K127" i="1"/>
  <c r="Q127" i="1" s="1"/>
  <c r="K126" i="1"/>
  <c r="K122" i="1"/>
  <c r="Q122" i="1" s="1"/>
  <c r="K186" i="1"/>
  <c r="K26" i="1"/>
  <c r="Q26" i="1" s="1"/>
  <c r="K81" i="1"/>
  <c r="K327" i="1"/>
  <c r="K80" i="1"/>
  <c r="K202" i="1"/>
  <c r="K131" i="1"/>
  <c r="K134" i="1"/>
  <c r="Q134" i="1" s="1"/>
  <c r="K251" i="1"/>
  <c r="Q251" i="1" s="1"/>
  <c r="K250" i="1"/>
  <c r="K249" i="1"/>
  <c r="Q249" i="1" s="1"/>
  <c r="K227" i="1"/>
  <c r="Q227" i="1" s="1"/>
  <c r="K308" i="1"/>
  <c r="Q308" i="1" s="1"/>
  <c r="K307" i="1"/>
  <c r="Q307" i="1" s="1"/>
  <c r="K47" i="1"/>
  <c r="K349" i="1"/>
  <c r="Q349" i="1" s="1"/>
  <c r="K19" i="1"/>
  <c r="Q19" i="1" s="1"/>
  <c r="K32" i="1"/>
  <c r="Q131" i="1" l="1"/>
  <c r="Q126" i="1"/>
  <c r="Q365" i="1"/>
  <c r="Q293" i="1"/>
  <c r="Q47" i="1"/>
  <c r="Q350" i="1"/>
  <c r="Q250" i="1"/>
  <c r="Q48" i="1"/>
  <c r="Q202" i="1"/>
  <c r="Q351" i="1"/>
  <c r="Q80" i="1"/>
  <c r="Q123" i="1"/>
  <c r="Q362" i="1"/>
  <c r="Q368" i="1"/>
  <c r="Q327" i="1"/>
  <c r="Q265" i="1"/>
  <c r="Q363" i="1"/>
  <c r="Q161" i="1"/>
  <c r="Q344" i="1"/>
  <c r="Q283" i="1"/>
  <c r="Q32" i="1"/>
  <c r="Q259" i="1"/>
  <c r="Q81" i="1"/>
  <c r="Q316" i="1"/>
  <c r="Q345" i="1"/>
  <c r="Q186" i="1"/>
  <c r="Q82" i="1"/>
  <c r="Q83" i="1"/>
  <c r="Q346" i="1"/>
  <c r="Q364" i="1"/>
  <c r="P25" i="1"/>
  <c r="P104" i="1"/>
  <c r="P112" i="1"/>
  <c r="P72" i="1"/>
  <c r="P33" i="1"/>
  <c r="P105" i="1"/>
  <c r="P65" i="1"/>
  <c r="P32" i="1"/>
  <c r="P64" i="1"/>
  <c r="P249" i="1"/>
  <c r="P97" i="1"/>
  <c r="P57" i="1"/>
  <c r="P24" i="1"/>
  <c r="P129" i="1"/>
  <c r="P96" i="1"/>
  <c r="P56" i="1"/>
  <c r="P17" i="1"/>
  <c r="P121" i="1"/>
  <c r="P89" i="1"/>
  <c r="P49" i="1"/>
  <c r="P16" i="1"/>
  <c r="P120" i="1"/>
  <c r="P88" i="1"/>
  <c r="P41" i="1"/>
  <c r="P9" i="1"/>
  <c r="P113" i="1"/>
  <c r="P73" i="1"/>
  <c r="P40" i="1"/>
  <c r="P8" i="1"/>
  <c r="P385" i="1"/>
  <c r="P377" i="1"/>
  <c r="P369" i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81" i="1"/>
  <c r="P384" i="1"/>
  <c r="P376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80" i="1"/>
  <c r="P48" i="1"/>
  <c r="P391" i="1"/>
  <c r="P383" i="1"/>
  <c r="P375" i="1"/>
  <c r="P367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P15" i="1"/>
  <c r="P7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14" i="1"/>
  <c r="P6" i="1"/>
  <c r="P389" i="1"/>
  <c r="P381" i="1"/>
  <c r="P373" i="1"/>
  <c r="P365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13" i="1"/>
  <c r="P5" i="1"/>
  <c r="P388" i="1"/>
  <c r="P380" i="1"/>
  <c r="P372" i="1"/>
  <c r="P364" i="1"/>
  <c r="P356" i="1"/>
  <c r="P348" i="1"/>
  <c r="P340" i="1"/>
  <c r="P332" i="1"/>
  <c r="P324" i="1"/>
  <c r="P316" i="1"/>
  <c r="P308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108" i="1"/>
  <c r="P100" i="1"/>
  <c r="P92" i="1"/>
  <c r="P84" i="1"/>
  <c r="P76" i="1"/>
  <c r="P68" i="1"/>
  <c r="P60" i="1"/>
  <c r="P52" i="1"/>
  <c r="P44" i="1"/>
  <c r="P36" i="1"/>
  <c r="P28" i="1"/>
  <c r="P20" i="1"/>
  <c r="P12" i="1"/>
  <c r="P4" i="1"/>
  <c r="P387" i="1"/>
  <c r="P379" i="1"/>
  <c r="P371" i="1"/>
  <c r="P363" i="1"/>
  <c r="P355" i="1"/>
  <c r="P347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59" i="1"/>
  <c r="P51" i="1"/>
  <c r="P43" i="1"/>
  <c r="P35" i="1"/>
  <c r="P27" i="1"/>
  <c r="P19" i="1"/>
  <c r="P11" i="1"/>
  <c r="P3" i="1"/>
  <c r="P386" i="1"/>
  <c r="P378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10" i="1"/>
  <c r="P2" i="1"/>
</calcChain>
</file>

<file path=xl/sharedStrings.xml><?xml version="1.0" encoding="utf-8"?>
<sst xmlns="http://schemas.openxmlformats.org/spreadsheetml/2006/main" count="5926" uniqueCount="740">
  <si>
    <t>Participante</t>
  </si>
  <si>
    <t>Avaliador</t>
  </si>
  <si>
    <t>Email</t>
  </si>
  <si>
    <t>Adenilson Lopes de Castro</t>
  </si>
  <si>
    <t>adenilson.castro@enind.com.br</t>
  </si>
  <si>
    <t>adenilson.castro</t>
  </si>
  <si>
    <t>Sim</t>
  </si>
  <si>
    <t>Antonio Fabio da Cunha Povoas</t>
  </si>
  <si>
    <t>Hilton Helton Dias Torres</t>
  </si>
  <si>
    <t>Antonio Felix de Lima</t>
  </si>
  <si>
    <t>Everaldo Henrique da Silva Junior</t>
  </si>
  <si>
    <t>Silvio Gomes de Almeida</t>
  </si>
  <si>
    <t>silvio.almeida</t>
  </si>
  <si>
    <t>Antonio Marcos da Cruz Sousa</t>
  </si>
  <si>
    <t>Ellian Fernando Leite Maciel Nunes</t>
  </si>
  <si>
    <t>Welton Leandro Saldanha Martins</t>
  </si>
  <si>
    <t>Não</t>
  </si>
  <si>
    <t>Damiao Amancio de Souza</t>
  </si>
  <si>
    <t>Everton Lisboa Bitencourt</t>
  </si>
  <si>
    <t>Alessandra Maria Tambellini</t>
  </si>
  <si>
    <t>alessandra.tambellini@enind.com.br</t>
  </si>
  <si>
    <t>alessandra.tambellini</t>
  </si>
  <si>
    <t>David Ewerton Lourenco dos Santos Silva</t>
  </si>
  <si>
    <t>Jean Carlos da Rocha</t>
  </si>
  <si>
    <t>Rodrigo Santana Moralez</t>
  </si>
  <si>
    <t>Deijanes Ferreira Costa</t>
  </si>
  <si>
    <t>Dionisio Carneiro de Oliveira Junior</t>
  </si>
  <si>
    <t>Alexandro Bezerra de Araujo</t>
  </si>
  <si>
    <t>alexandro.araujo@enind.com.br</t>
  </si>
  <si>
    <t>alexandro.araujo</t>
  </si>
  <si>
    <t>Devani Guedes de Carvalho Dantas</t>
  </si>
  <si>
    <t>Valeria Carvalho Souza</t>
  </si>
  <si>
    <t>Devanir Pereira Magalhaes</t>
  </si>
  <si>
    <t>Anderson Domingues da Silva</t>
  </si>
  <si>
    <t>anderson.domingues@enind.com.br</t>
  </si>
  <si>
    <t>anderson.domingues</t>
  </si>
  <si>
    <t>Fabricio Romanini Bruschi</t>
  </si>
  <si>
    <t>Eliza Crisley Lima Moreira</t>
  </si>
  <si>
    <t>Augusto Cesar Eloi de Freitas</t>
  </si>
  <si>
    <t>augusto.freitas@enind.com.br</t>
  </si>
  <si>
    <t>augusto.freitas</t>
  </si>
  <si>
    <t>Esmael da Silva Ribeiro</t>
  </si>
  <si>
    <t>Fabio de Oliveira Serejo</t>
  </si>
  <si>
    <t>Bruno Augusto Alvernaz de Castro</t>
  </si>
  <si>
    <t>bruno.castro@enind.com.br</t>
  </si>
  <si>
    <t>bruno.castro</t>
  </si>
  <si>
    <t>Joao Herlandio Da Silva</t>
  </si>
  <si>
    <t>Jose Cicero Paulo da Silva</t>
  </si>
  <si>
    <t>Crislane Santos Gama</t>
  </si>
  <si>
    <t>crislane.gama@enind.com.br</t>
  </si>
  <si>
    <t>crislane.gama</t>
  </si>
  <si>
    <t>Marcio Lima Salomao</t>
  </si>
  <si>
    <t>Maria Thais Moreira Alves</t>
  </si>
  <si>
    <t>Marcos Batista</t>
  </si>
  <si>
    <t>Dayvis Jones Coelho</t>
  </si>
  <si>
    <t>dayvis.coelho@enind.com.br</t>
  </si>
  <si>
    <t>dayvis.coelho</t>
  </si>
  <si>
    <t>Nazareno Luiz da Silva Neto</t>
  </si>
  <si>
    <t>Romilson Luiz da Silva</t>
  </si>
  <si>
    <t>Dayvson Faber Alcantara Silva</t>
  </si>
  <si>
    <t>dayvson.silva@enind.com.br</t>
  </si>
  <si>
    <t>dayvson.silva</t>
  </si>
  <si>
    <t>Silvio Bezerra da Silva</t>
  </si>
  <si>
    <t>Hillary Karen de Araujo</t>
  </si>
  <si>
    <t>hillary.karen</t>
  </si>
  <si>
    <t>Juliana Matos Santos</t>
  </si>
  <si>
    <t>juliana.santos</t>
  </si>
  <si>
    <t>João Fernandes</t>
  </si>
  <si>
    <t>Luana Eugenio da Silva</t>
  </si>
  <si>
    <t>luana.silva</t>
  </si>
  <si>
    <t>Goncalo Manoel da Silva</t>
  </si>
  <si>
    <t>Wilson Tassinari Fernandes</t>
  </si>
  <si>
    <t>Izaias da Silva Santos</t>
  </si>
  <si>
    <t>Diego Freitas Araujo</t>
  </si>
  <si>
    <t>diego.araujo@enind.com.br</t>
  </si>
  <si>
    <t>diego.araujo</t>
  </si>
  <si>
    <t>Jose Cicero da Silva</t>
  </si>
  <si>
    <t>Weslley Chaves da Costa</t>
  </si>
  <si>
    <t>Jose Luiz de Melo</t>
  </si>
  <si>
    <t>Diego Santos de Oliveira</t>
  </si>
  <si>
    <t>diego.santos@enind.com.br</t>
  </si>
  <si>
    <t>diego.santos</t>
  </si>
  <si>
    <t>Jose Manoel da Silva</t>
  </si>
  <si>
    <t>Cicero Luis De Melo</t>
  </si>
  <si>
    <t>cicero.melo</t>
  </si>
  <si>
    <t>Leonardo Barros Santos</t>
  </si>
  <si>
    <t>Josiel de Oliveira Silva</t>
  </si>
  <si>
    <t>josiel.silva</t>
  </si>
  <si>
    <t>Antonio Benedito Filho</t>
  </si>
  <si>
    <t>antonio.filho</t>
  </si>
  <si>
    <t>deijanes.costa</t>
  </si>
  <si>
    <t>Ediberto Ronei Pescaroli</t>
  </si>
  <si>
    <t>ediberto.pescaroli@enindservicos.com.br</t>
  </si>
  <si>
    <t>ediberto.pescaroli</t>
  </si>
  <si>
    <t>Thiago Santana de Oliveira</t>
  </si>
  <si>
    <t>eliza.moreira@enind.com.br</t>
  </si>
  <si>
    <t>eliza.moreira</t>
  </si>
  <si>
    <t>James Alembert Custodio</t>
  </si>
  <si>
    <t>james.custodio</t>
  </si>
  <si>
    <t>Jose Roberto Fernandes Alves</t>
  </si>
  <si>
    <t>jose.alves</t>
  </si>
  <si>
    <t>nazareno.neto</t>
  </si>
  <si>
    <t>Paulo Ferreira Da Costa</t>
  </si>
  <si>
    <t>paulo.costa</t>
  </si>
  <si>
    <t>Rauan Luiz da Silva</t>
  </si>
  <si>
    <t>rauan.silva</t>
  </si>
  <si>
    <t>ellian.nunes@enind.com.br</t>
  </si>
  <si>
    <t>ellian.nunes</t>
  </si>
  <si>
    <t>antonio.sousa</t>
  </si>
  <si>
    <t>Emerson Bonotto</t>
  </si>
  <si>
    <t>emerson.bonotto@enind.com.br</t>
  </si>
  <si>
    <t>emerson.bonotto</t>
  </si>
  <si>
    <t>Evandro Luis Idalgo de Oliveira</t>
  </si>
  <si>
    <t>evandro.idalgo@enind.com.br</t>
  </si>
  <si>
    <t>welton.martins</t>
  </si>
  <si>
    <t>weslley.costa</t>
  </si>
  <si>
    <t>wilson.fernandes</t>
  </si>
  <si>
    <t>Guilherme Luis Eberhardt</t>
  </si>
  <si>
    <t>guilherme.luis</t>
  </si>
  <si>
    <t>thiago.oliveira</t>
  </si>
  <si>
    <t>Everaldo Matias Pontes</t>
  </si>
  <si>
    <t>everaldo.pontes@enind.com.br</t>
  </si>
  <si>
    <t>everaldo.pontes</t>
  </si>
  <si>
    <t>Lucas Ramos de Almeida Pasquantonio</t>
  </si>
  <si>
    <t>everaldo.silva@enind.com.br</t>
  </si>
  <si>
    <t>everaldo.silva</t>
  </si>
  <si>
    <t>Ewerton Gomes de Siqueira</t>
  </si>
  <si>
    <t>ewerton.siqueira</t>
  </si>
  <si>
    <t>jose.paulo</t>
  </si>
  <si>
    <t>Marcilio da Silva</t>
  </si>
  <si>
    <t>marcilio.silva</t>
  </si>
  <si>
    <t>marcio.salomao</t>
  </si>
  <si>
    <t>antonio.lima</t>
  </si>
  <si>
    <t>izaias.santos</t>
  </si>
  <si>
    <t>jose.silva</t>
  </si>
  <si>
    <t>jose.melo</t>
  </si>
  <si>
    <t>jose.manoel</t>
  </si>
  <si>
    <t>leonardo.santos</t>
  </si>
  <si>
    <t>everton.bitencourt@enind.com.br</t>
  </si>
  <si>
    <t>everton.bitencourt</t>
  </si>
  <si>
    <t>damiao.souza</t>
  </si>
  <si>
    <t>Elias Cesario Gomes</t>
  </si>
  <si>
    <t>elias.gomes</t>
  </si>
  <si>
    <t>esmael.ribeiro</t>
  </si>
  <si>
    <t>Fabio Donizete de Oliveira</t>
  </si>
  <si>
    <t>fabio.oliveira</t>
  </si>
  <si>
    <t>romilson.silva</t>
  </si>
  <si>
    <t>Fernando Marques Correa</t>
  </si>
  <si>
    <t>Fabiano Brenno de Sousa</t>
  </si>
  <si>
    <t>fabiano.sousa@enind.com.br</t>
  </si>
  <si>
    <t>fabiano.sousa</t>
  </si>
  <si>
    <t>Fabio Bersi Carelli</t>
  </si>
  <si>
    <t>fabio.carelli@enind.com.br</t>
  </si>
  <si>
    <t>fabio.carelli</t>
  </si>
  <si>
    <t>fabricio.bruschi@enind.com.br</t>
  </si>
  <si>
    <t>Rafael Moura Araujo</t>
  </si>
  <si>
    <t>rafael.araujo</t>
  </si>
  <si>
    <t>fernando.correa@enind.com.br</t>
  </si>
  <si>
    <t>fernando.correa</t>
  </si>
  <si>
    <t>Glaucia Delgado Pontes</t>
  </si>
  <si>
    <t>glaucia.pontes</t>
  </si>
  <si>
    <t>Gabriela Caixeta Lima</t>
  </si>
  <si>
    <t>gabriela.lima@enind.com.br</t>
  </si>
  <si>
    <t>gabriela.lima</t>
  </si>
  <si>
    <t>Pierre da Silva Marinho</t>
  </si>
  <si>
    <t>glaucia.pontes@enind.com.br</t>
  </si>
  <si>
    <t>guilherme.luis@enind.com.br</t>
  </si>
  <si>
    <t>Murilo Cezari Guidi</t>
  </si>
  <si>
    <t>murilo.guidi</t>
  </si>
  <si>
    <t>Guilherme Sala Silva</t>
  </si>
  <si>
    <t>guilherme.silva@enind.com.br</t>
  </si>
  <si>
    <t>guilherme.silva</t>
  </si>
  <si>
    <t>hillary.karen@enind.com.br</t>
  </si>
  <si>
    <t>hilton.torres@enind.com.br</t>
  </si>
  <si>
    <t>hilton.torres</t>
  </si>
  <si>
    <t>Abel dos Santos Cavalcanti</t>
  </si>
  <si>
    <t>abel.cavalcanti</t>
  </si>
  <si>
    <t>devani.dantas</t>
  </si>
  <si>
    <t>devanir.magalhaes</t>
  </si>
  <si>
    <t>fabio.serejo</t>
  </si>
  <si>
    <t>joao.silva</t>
  </si>
  <si>
    <t>Josenildo Vieira de Souza</t>
  </si>
  <si>
    <t>josenildo.souza</t>
  </si>
  <si>
    <t>marcos.batista</t>
  </si>
  <si>
    <t>antonio.povoas</t>
  </si>
  <si>
    <t>Miriam de Oliveira Carvalho</t>
  </si>
  <si>
    <t>miriam.carvalho</t>
  </si>
  <si>
    <t>Arnaldo da Silva Teixeira</t>
  </si>
  <si>
    <t>arnaldo.teixeira</t>
  </si>
  <si>
    <t>Adelmo Alves de Sousa</t>
  </si>
  <si>
    <t>adelmo.sousa</t>
  </si>
  <si>
    <t>Mauro Ferreira da Costa</t>
  </si>
  <si>
    <t>mauro.costa</t>
  </si>
  <si>
    <t>Italo Cesar Andrade</t>
  </si>
  <si>
    <t>italo.andrade@enind.com.br</t>
  </si>
  <si>
    <t>italo.andrade</t>
  </si>
  <si>
    <t>Janderson Cunha Alves</t>
  </si>
  <si>
    <t>janderson.alves@enindservicos.com.br</t>
  </si>
  <si>
    <t>janderson.alves</t>
  </si>
  <si>
    <t>goncalo.silva</t>
  </si>
  <si>
    <t>jean.rocha@enind.com.br</t>
  </si>
  <si>
    <t>jean.rocha</t>
  </si>
  <si>
    <t>david.silva</t>
  </si>
  <si>
    <t>Jose da Paz Bezarrias Silva</t>
  </si>
  <si>
    <t>jose.paz</t>
  </si>
  <si>
    <t>silvio.silva</t>
  </si>
  <si>
    <t>Wagner Aparecido Pedroso Candido</t>
  </si>
  <si>
    <t>joão.fernandes@enind.com.br</t>
  </si>
  <si>
    <t>wagner.candido</t>
  </si>
  <si>
    <t>Joaquim Pinto de Souza</t>
  </si>
  <si>
    <t>joaquim.souza@enind.com.br</t>
  </si>
  <si>
    <t>joaquim.souza</t>
  </si>
  <si>
    <t>Juliana Fogagnolo Melo Loiola</t>
  </si>
  <si>
    <t>juliana.melo</t>
  </si>
  <si>
    <t>jose.alves@enind.com.br</t>
  </si>
  <si>
    <t>juliana.melo@enind.com.br</t>
  </si>
  <si>
    <t>juliana.santos@enind.com.br</t>
  </si>
  <si>
    <t>luana.silva@enind.com.br</t>
  </si>
  <si>
    <t>lucas.almeida@enind.com.br</t>
  </si>
  <si>
    <t>lucas.almeida</t>
  </si>
  <si>
    <t>Talita Moura Peixoto</t>
  </si>
  <si>
    <t>talita.peixoto</t>
  </si>
  <si>
    <t>Luciano Aparecido Bastos</t>
  </si>
  <si>
    <t>luciano.bastos@enind.com.br</t>
  </si>
  <si>
    <t>luciano.bastos</t>
  </si>
  <si>
    <t>Marcos Roberto Nunes de Sousa</t>
  </si>
  <si>
    <t>marcos.nunes</t>
  </si>
  <si>
    <t>Lucio dos Santos Farias</t>
  </si>
  <si>
    <t>lucio.farias@enind.com.br</t>
  </si>
  <si>
    <t>lucio.farias</t>
  </si>
  <si>
    <t>Marcelo Apolinario Fernandes da Silva</t>
  </si>
  <si>
    <t>marcelo.silva@enind.com.br</t>
  </si>
  <si>
    <t>marcelo.silva</t>
  </si>
  <si>
    <t>marcos.nunes@enind.com.br</t>
  </si>
  <si>
    <t>Marcos Vinicius Mendes da Silva</t>
  </si>
  <si>
    <t>marcos.silva@enind.com.br</t>
  </si>
  <si>
    <t>marcos.silva</t>
  </si>
  <si>
    <t>Maria Raimunda Ferreira de Sousa</t>
  </si>
  <si>
    <t>maria.sousa@enind.com.br</t>
  </si>
  <si>
    <t>maria.sousa</t>
  </si>
  <si>
    <t>Mayara da Silva Santos</t>
  </si>
  <si>
    <t>mayara.santos@enind.com.br</t>
  </si>
  <si>
    <t>mayara.santos</t>
  </si>
  <si>
    <t>miriam.carvalho@enind.com.br</t>
  </si>
  <si>
    <t>murilo.guidi@enind.com.br</t>
  </si>
  <si>
    <t>Pablo Alexandre da Silva Almeida</t>
  </si>
  <si>
    <t>pablo.almeida@enind.com.br</t>
  </si>
  <si>
    <t>pablo.almeida</t>
  </si>
  <si>
    <t>pierre.marinho@enind.com.br</t>
  </si>
  <si>
    <t>valeria.souza</t>
  </si>
  <si>
    <t>rafael.araujo@enind.com.br</t>
  </si>
  <si>
    <t>Renan Vieira Cunha</t>
  </si>
  <si>
    <t>renan.cunha@enind.com.br</t>
  </si>
  <si>
    <t>renan.cunha</t>
  </si>
  <si>
    <t>Rodolfo Fontana Moraes</t>
  </si>
  <si>
    <t>rodolfo.moraes@enind.com.br</t>
  </si>
  <si>
    <t>rodolfo.moraes</t>
  </si>
  <si>
    <t>Weshiley Andrade Miranda da Silva</t>
  </si>
  <si>
    <t>rodrigo.moralez@enind.com.br</t>
  </si>
  <si>
    <t>weshiley.silva</t>
  </si>
  <si>
    <t>Ronierison de Lima Siqueira</t>
  </si>
  <si>
    <t>ronierison.siqueira@enindservicos.com.br</t>
  </si>
  <si>
    <t>ronierison.siqueira</t>
  </si>
  <si>
    <t>talita.peixoto@enind.com.br</t>
  </si>
  <si>
    <t>thais.alves@enind.com.br</t>
  </si>
  <si>
    <t>thais.alves</t>
  </si>
  <si>
    <t>Vinicius Silva Xisto</t>
  </si>
  <si>
    <t>vinicius.xisto</t>
  </si>
  <si>
    <t>Thelma Christina de Oliveira Alves</t>
  </si>
  <si>
    <t>thelma.alves@enind.com.br</t>
  </si>
  <si>
    <t>thelma.alves</t>
  </si>
  <si>
    <t>thiago.oliveira@enind.com.br</t>
  </si>
  <si>
    <t>Wagner Souza Ferreira</t>
  </si>
  <si>
    <t>wagner.ferreira</t>
  </si>
  <si>
    <t>Thiago de Moura Rodrigues</t>
  </si>
  <si>
    <t>thiago.rodrigues</t>
  </si>
  <si>
    <t>thiago.rodrigues@enind.com.br</t>
  </si>
  <si>
    <t>Ubiara Athaide dos Santos Batista</t>
  </si>
  <si>
    <t>ubiara.batista@enind.com.br</t>
  </si>
  <si>
    <t>ubiara.batista</t>
  </si>
  <si>
    <t>valeria.souza@enind.com.br</t>
  </si>
  <si>
    <t>Vinicius Welber da Silva Eugenio</t>
  </si>
  <si>
    <t>vinicius.silva@enind.com.br</t>
  </si>
  <si>
    <t>vinicius.silva</t>
  </si>
  <si>
    <t>vinicius.xisto@enind.com.br</t>
  </si>
  <si>
    <t>Antonio Aloisio Ferreira do Santos Filho</t>
  </si>
  <si>
    <t>wagner.ferreira@enind.com.br</t>
  </si>
  <si>
    <t>welton.martins@enind.com.br</t>
  </si>
  <si>
    <t>weshiley.a.silva@enind.com.br</t>
  </si>
  <si>
    <t>weslley.costa@enind.com.br</t>
  </si>
  <si>
    <t>wilson.fernandes@enind.com.br</t>
  </si>
  <si>
    <t>Wiringhton Cristal Araujo</t>
  </si>
  <si>
    <t>w.cristal@enind.com.br</t>
  </si>
  <si>
    <t>login_aval</t>
  </si>
  <si>
    <t>login_part</t>
  </si>
  <si>
    <t>auto</t>
  </si>
  <si>
    <t>joão.fernandes</t>
  </si>
  <si>
    <t>avaliador1</t>
  </si>
  <si>
    <t>evandro.idalgo</t>
  </si>
  <si>
    <t>rodrigo.moralez</t>
  </si>
  <si>
    <t>antonio.aloisio</t>
  </si>
  <si>
    <t>fabricio.bruschi</t>
  </si>
  <si>
    <t>pierre.marinho</t>
  </si>
  <si>
    <t>avaliador2</t>
  </si>
  <si>
    <t>w.cristal</t>
  </si>
  <si>
    <t>Resp_Av1</t>
  </si>
  <si>
    <t>email_repres</t>
  </si>
  <si>
    <t>A2</t>
  </si>
  <si>
    <t>A3</t>
  </si>
  <si>
    <t>A1</t>
  </si>
  <si>
    <t>senha_part</t>
  </si>
  <si>
    <t>senha_aval</t>
  </si>
  <si>
    <t>Resp_Part</t>
  </si>
  <si>
    <t>Tipo_Av</t>
  </si>
  <si>
    <t>Tipo_aval</t>
  </si>
  <si>
    <t>antonio.santos@enind.com.br</t>
  </si>
  <si>
    <t>Alexandre Armelin</t>
  </si>
  <si>
    <t>Amanda Nunes Paixao</t>
  </si>
  <si>
    <t>Amanda Silva Costa Oliveira</t>
  </si>
  <si>
    <t>Andre dos Santos Eusebio</t>
  </si>
  <si>
    <t>Andre Luiz do Nascimento</t>
  </si>
  <si>
    <t>Antonio Aloisio Ferreira dos Santos Filho</t>
  </si>
  <si>
    <t>Antonio Luis Ribeiro de Almeida Junior</t>
  </si>
  <si>
    <t>Augusto Cesar Nogueira Junqueira</t>
  </si>
  <si>
    <t>Brendhel Almeida Silva</t>
  </si>
  <si>
    <t>Bruno Pulino Lustosa</t>
  </si>
  <si>
    <t>Cleiton Inacio Mathias</t>
  </si>
  <si>
    <t>Daniel Casari Carlos</t>
  </si>
  <si>
    <t>Jorge Antonio Ferreira da Mota</t>
  </si>
  <si>
    <t>Eder da Silva Fernandes</t>
  </si>
  <si>
    <t>Emerson Marcelo Alves da Cunha de Leo</t>
  </si>
  <si>
    <t>Igor do Carmo Aranda</t>
  </si>
  <si>
    <t>Ieza Amaral</t>
  </si>
  <si>
    <t>Joao Pedro Faleco Rodrigues</t>
  </si>
  <si>
    <t>Luciene Caetano da Rocha</t>
  </si>
  <si>
    <t>Jose Martins Filho</t>
  </si>
  <si>
    <t>Leandro Cabrini</t>
  </si>
  <si>
    <t>Luan Henrique Alves de Carvalho</t>
  </si>
  <si>
    <t>Marcelo da Silva Santos</t>
  </si>
  <si>
    <t>Isabela Pinheiro da Silva</t>
  </si>
  <si>
    <t>Marcos Alberto Ferreira Junior</t>
  </si>
  <si>
    <t>Marcos Souza Queiroz</t>
  </si>
  <si>
    <t>Mariana Gouvea da Silva Moreira</t>
  </si>
  <si>
    <t>Matheus Ruan de Jesus Silva</t>
  </si>
  <si>
    <t>Milena Alkmin</t>
  </si>
  <si>
    <t>Natalia Gomes Dos Santos</t>
  </si>
  <si>
    <t>Nicholas Rezende</t>
  </si>
  <si>
    <t>Rebeca Oliveira Porto</t>
  </si>
  <si>
    <t>Marcia Cristina Silva Santana</t>
  </si>
  <si>
    <t>Ruan Filipe Amaral Ramos</t>
  </si>
  <si>
    <t>Sergio Reis Porto</t>
  </si>
  <si>
    <t>Thais Sousa de Oliveira</t>
  </si>
  <si>
    <t>Vinicius Araujo da Silva</t>
  </si>
  <si>
    <t>Wagner Araujo Sequeira Barreiro</t>
  </si>
  <si>
    <t>alexandre.armelin@enind.com.br</t>
  </si>
  <si>
    <t>amanda.paixao@enind.com.br</t>
  </si>
  <si>
    <t>amanda.oliveira@enind.com.br</t>
  </si>
  <si>
    <t>andre.eusebio@enind.com.br</t>
  </si>
  <si>
    <t>andre.nascimento@enind.com.br</t>
  </si>
  <si>
    <t>antonio.almeida@enind.com.br</t>
  </si>
  <si>
    <t>augusto.junqueira@enind.com.br</t>
  </si>
  <si>
    <t>brendhel.silva@enind.com.br</t>
  </si>
  <si>
    <t>bruno.lustosa@enind.com.br</t>
  </si>
  <si>
    <t>cleiton.mathias@enind.com.br</t>
  </si>
  <si>
    <t>daniel.casari@enind.com.br</t>
  </si>
  <si>
    <t>jorge.mota@enind.com.br</t>
  </si>
  <si>
    <t>eder.fernandes@enind.com.br</t>
  </si>
  <si>
    <t>emerson.leo@enind.com.br</t>
  </si>
  <si>
    <t>igor.aranda@enind.com.br</t>
  </si>
  <si>
    <t>ieza.amaral@enind.com.br</t>
  </si>
  <si>
    <t>joao.rodrigues@enind.com.br</t>
  </si>
  <si>
    <t>luciene.rocha@enind.com.br</t>
  </si>
  <si>
    <t>jose.filho@enind.com.br</t>
  </si>
  <si>
    <t>leandro.cabrini@enind.com.br</t>
  </si>
  <si>
    <t>luan.carvalho@enind.com.br</t>
  </si>
  <si>
    <t>marcelo.santos@enind.com.br</t>
  </si>
  <si>
    <t>isabela.pinheiro@enind.com.br</t>
  </si>
  <si>
    <t>marcos.junior@enind.com.br</t>
  </si>
  <si>
    <t>marcos.queiroz@enind.com.br</t>
  </si>
  <si>
    <t>mariana.moreira@enind.com.br</t>
  </si>
  <si>
    <t>matheus.silva@enind.com.br</t>
  </si>
  <si>
    <t>milena.alkmin@enind.com.br</t>
  </si>
  <si>
    <t>natalia.santos@enind.com.br</t>
  </si>
  <si>
    <t>nicholas.rezende@enind.com.br</t>
  </si>
  <si>
    <t>rebeca.porto@enind.com.br</t>
  </si>
  <si>
    <t>marcia.santana@enind.com.br</t>
  </si>
  <si>
    <t>ruan.ramos@enind.com.br</t>
  </si>
  <si>
    <t>sergio.porto@enind.com.br</t>
  </si>
  <si>
    <t>thais.oliveira@enind.com.br</t>
  </si>
  <si>
    <t>wagner.barreiro@enind.com.br</t>
  </si>
  <si>
    <t>alexandre.armelin</t>
  </si>
  <si>
    <t>amanda.paixao</t>
  </si>
  <si>
    <t>amanda.oliveira</t>
  </si>
  <si>
    <t>andre.eusebio</t>
  </si>
  <si>
    <t>andre.nascimento</t>
  </si>
  <si>
    <t>antonio.santos</t>
  </si>
  <si>
    <t>antonio.almeida</t>
  </si>
  <si>
    <t>augusto.junqueira</t>
  </si>
  <si>
    <t>brendhel.silva</t>
  </si>
  <si>
    <t>bruno.lustosa</t>
  </si>
  <si>
    <t>cleiton.mathias</t>
  </si>
  <si>
    <t>daniel.casari</t>
  </si>
  <si>
    <t>jorge.mota</t>
  </si>
  <si>
    <t>eder.fernandes</t>
  </si>
  <si>
    <t>emerson.leo</t>
  </si>
  <si>
    <t>igor.aranda</t>
  </si>
  <si>
    <t>ieza.amaral</t>
  </si>
  <si>
    <t>joao.rodrigues</t>
  </si>
  <si>
    <t>luciene.rocha</t>
  </si>
  <si>
    <t>jose.filho</t>
  </si>
  <si>
    <t>leandro.cabrini</t>
  </si>
  <si>
    <t>luan.carvalho</t>
  </si>
  <si>
    <t>marcelo.santos</t>
  </si>
  <si>
    <t>isabela.pinheiro</t>
  </si>
  <si>
    <t>marcos.junior</t>
  </si>
  <si>
    <t>marcos.queiroz</t>
  </si>
  <si>
    <t>mariana.moreira</t>
  </si>
  <si>
    <t>matheus.silva</t>
  </si>
  <si>
    <t>milena.alkmin</t>
  </si>
  <si>
    <t>natalia.santos</t>
  </si>
  <si>
    <t>nicholas.rezende</t>
  </si>
  <si>
    <t>rebeca.porto</t>
  </si>
  <si>
    <t>marcia.santana</t>
  </si>
  <si>
    <t>ruan.ramos</t>
  </si>
  <si>
    <t>sergio.porto</t>
  </si>
  <si>
    <t>thais.oliveira</t>
  </si>
  <si>
    <t>wagner.barreiro</t>
  </si>
  <si>
    <t>andre.nascimento@enindservicos.com.br</t>
  </si>
  <si>
    <t>eder.fernandes@enindservicos.com.br</t>
  </si>
  <si>
    <t>emerson.leo@enindservicos.com.br</t>
  </si>
  <si>
    <t>ewerton.siqueira@enind.com.br</t>
  </si>
  <si>
    <t>hillary.araujo@enind.com.br</t>
  </si>
  <si>
    <t>marcos.batista@enind.com.br</t>
  </si>
  <si>
    <t/>
  </si>
  <si>
    <t>jose.martins@enindservicos.com.br</t>
  </si>
  <si>
    <t>marcos.queiroz@enindservicos.com.br</t>
  </si>
  <si>
    <t>Novo_Avaliador</t>
  </si>
  <si>
    <t>Socio - Gerente Operacional</t>
  </si>
  <si>
    <t>Sede</t>
  </si>
  <si>
    <t>Associado</t>
  </si>
  <si>
    <t>Supervisor De Manutencao</t>
  </si>
  <si>
    <t>Obra</t>
  </si>
  <si>
    <t>Coordenador I - Logistica</t>
  </si>
  <si>
    <t>Coordenador II - Obras</t>
  </si>
  <si>
    <t>Analista de Folha de Pagamento II</t>
  </si>
  <si>
    <t>Projetista III</t>
  </si>
  <si>
    <t>Tecnico de O&amp;M II</t>
  </si>
  <si>
    <t>Gerente de Obras II</t>
  </si>
  <si>
    <t>Socio - Gerente Comercial</t>
  </si>
  <si>
    <t>Sócio - Administrador</t>
  </si>
  <si>
    <t>Analista de Pessoal I</t>
  </si>
  <si>
    <t>Coordenador III - Projeto</t>
  </si>
  <si>
    <t>Encarregado Administrativo I</t>
  </si>
  <si>
    <t>Coordenador III - Proposta</t>
  </si>
  <si>
    <t>Comprador II</t>
  </si>
  <si>
    <t>Encarregado de Eletrica IV</t>
  </si>
  <si>
    <t>Analista Tecnico III</t>
  </si>
  <si>
    <t>Depósito</t>
  </si>
  <si>
    <t>Encarregado Administrativo II</t>
  </si>
  <si>
    <t>Coordenador I - Segurança do Trabalho</t>
  </si>
  <si>
    <t>Analista Contabil II</t>
  </si>
  <si>
    <t>Supervisor de Obras II</t>
  </si>
  <si>
    <t>Gerente Operacional</t>
  </si>
  <si>
    <t>Gerente de Obras III</t>
  </si>
  <si>
    <t>Coordenador II - Financeiro</t>
  </si>
  <si>
    <t>Encarregado de Montagem III</t>
  </si>
  <si>
    <t>Gerente de Obras I</t>
  </si>
  <si>
    <t>Analista de Pré-Operação I</t>
  </si>
  <si>
    <t>Coordenador I - Obras</t>
  </si>
  <si>
    <t>Coordenador I - SSMA</t>
  </si>
  <si>
    <t>Administrador de Contratos II</t>
  </si>
  <si>
    <t>Eletricista Especialista I</t>
  </si>
  <si>
    <t>257.894.493-87</t>
  </si>
  <si>
    <t>240.432.815-87</t>
  </si>
  <si>
    <t>Encarregado Civil III</t>
  </si>
  <si>
    <t>257.453.953-20</t>
  </si>
  <si>
    <t>Encarregado de Eletrica I</t>
  </si>
  <si>
    <t>043.593.464-33</t>
  </si>
  <si>
    <t>Montador Especialista I</t>
  </si>
  <si>
    <t>030.920.154-36</t>
  </si>
  <si>
    <t>028.818.173-51</t>
  </si>
  <si>
    <t>086.792.344-00</t>
  </si>
  <si>
    <t>Mecanico Montador Especialista II</t>
  </si>
  <si>
    <t>024.937.014-02</t>
  </si>
  <si>
    <t>Encarregado Civil I</t>
  </si>
  <si>
    <t>081.892.364-40</t>
  </si>
  <si>
    <t>927.589.243-15</t>
  </si>
  <si>
    <t>311.184.348-38</t>
  </si>
  <si>
    <t>Motorista Munck Especialista I</t>
  </si>
  <si>
    <t>929.071.647-91</t>
  </si>
  <si>
    <t>Encarregado de Eletrica II</t>
  </si>
  <si>
    <t>269.618.428-36</t>
  </si>
  <si>
    <t>Encarregado de Montagem I</t>
  </si>
  <si>
    <t>027.051.282-98</t>
  </si>
  <si>
    <t>Tecnico de Seguranca do Trabalho III</t>
  </si>
  <si>
    <t>868.622.003-72</t>
  </si>
  <si>
    <t>786.661.396-68</t>
  </si>
  <si>
    <t>443.282.736-04</t>
  </si>
  <si>
    <t>Analista Juridico III</t>
  </si>
  <si>
    <t>005.796.995-79</t>
  </si>
  <si>
    <t>Encarregado Civil II</t>
  </si>
  <si>
    <t>030.364.474-58</t>
  </si>
  <si>
    <t>joao.fernandes@enind.com.br</t>
  </si>
  <si>
    <t>joao.fernandes</t>
  </si>
  <si>
    <t>043.054.914-86</t>
  </si>
  <si>
    <t>069.265.104-74</t>
  </si>
  <si>
    <t>147.508.028-08</t>
  </si>
  <si>
    <t>Encarregado de Eletrica III</t>
  </si>
  <si>
    <t>600.570.924-00</t>
  </si>
  <si>
    <t>041.268.354-74</t>
  </si>
  <si>
    <t>458.922.024-53</t>
  </si>
  <si>
    <t>053.166.804-56</t>
  </si>
  <si>
    <t>Soldador Especialista I</t>
  </si>
  <si>
    <t>768.964.635-20</t>
  </si>
  <si>
    <t>705.382.624-43</t>
  </si>
  <si>
    <t>857.795.935-07</t>
  </si>
  <si>
    <t>Analista de Logistica I</t>
  </si>
  <si>
    <t>Tecnico de Seguranca do Trabalho II</t>
  </si>
  <si>
    <t>Eletricista Especialista II</t>
  </si>
  <si>
    <t>005.921.647-64</t>
  </si>
  <si>
    <t>082.721.754-44</t>
  </si>
  <si>
    <t>426.128.294-15</t>
  </si>
  <si>
    <t>704.689.554-61</t>
  </si>
  <si>
    <t>119.894.284-36</t>
  </si>
  <si>
    <t>158.519.228-77</t>
  </si>
  <si>
    <t>Operador de Maquinas Especialista I</t>
  </si>
  <si>
    <t>022.252.245-36</t>
  </si>
  <si>
    <t>296.970.868-00</t>
  </si>
  <si>
    <t>092.625.864-85</t>
  </si>
  <si>
    <t>051.728.945-86</t>
  </si>
  <si>
    <t>Teste</t>
  </si>
  <si>
    <t>teste.teste</t>
  </si>
  <si>
    <t>Larissa Schons</t>
  </si>
  <si>
    <t>larissa.schons@enind.com.br</t>
  </si>
  <si>
    <t>Coordenadora de DHO</t>
  </si>
  <si>
    <t>larissa.schons</t>
  </si>
  <si>
    <t>Administrador</t>
  </si>
  <si>
    <t>administrador</t>
  </si>
  <si>
    <t>RH*123</t>
  </si>
  <si>
    <t>Analista Tecnico I</t>
  </si>
  <si>
    <t>0000-00-00</t>
  </si>
  <si>
    <t>Assistente Administrativo I</t>
  </si>
  <si>
    <t>Assistente Financeiro I</t>
  </si>
  <si>
    <t>Operador de COS I</t>
  </si>
  <si>
    <t>Analista Fiscal III</t>
  </si>
  <si>
    <t>Operador de COS II</t>
  </si>
  <si>
    <t>Assistente Paralegal I</t>
  </si>
  <si>
    <t>Administrador de Contratos I</t>
  </si>
  <si>
    <t>Comprador I</t>
  </si>
  <si>
    <t>Analista Administrativo I</t>
  </si>
  <si>
    <t>Analista Juridico I</t>
  </si>
  <si>
    <t>Coordenador III - Planejamento</t>
  </si>
  <si>
    <t>Analista Contabil I</t>
  </si>
  <si>
    <t>Projetista I</t>
  </si>
  <si>
    <t>Analista de Tesouraria II</t>
  </si>
  <si>
    <t>Assistente Tecnico III</t>
  </si>
  <si>
    <t>Assistente Tecnico I</t>
  </si>
  <si>
    <t>Analista Fiscal II</t>
  </si>
  <si>
    <t>Assistente de Logistica I</t>
  </si>
  <si>
    <t>Nome</t>
  </si>
  <si>
    <t>C.Custo</t>
  </si>
  <si>
    <t>Cargo</t>
  </si>
  <si>
    <t>Local</t>
  </si>
  <si>
    <t>CPF</t>
  </si>
  <si>
    <t>Data Nasc</t>
  </si>
  <si>
    <t>Login</t>
  </si>
  <si>
    <t>Senha</t>
  </si>
  <si>
    <t>Nova_Senha</t>
  </si>
  <si>
    <t>Sql Atuliza_Senha</t>
  </si>
  <si>
    <t>Alterar</t>
  </si>
  <si>
    <t>ID</t>
  </si>
  <si>
    <t>Avaliador1</t>
  </si>
  <si>
    <t>Avaliador2</t>
  </si>
  <si>
    <t>Tipo_av</t>
  </si>
  <si>
    <t>Novo_Av1</t>
  </si>
  <si>
    <t>Validação_Av1</t>
  </si>
  <si>
    <t>Novo_Av2</t>
  </si>
  <si>
    <t>Validação_Av2</t>
  </si>
  <si>
    <t>Status</t>
  </si>
  <si>
    <t>SQL Para atualizar</t>
  </si>
  <si>
    <t>370wc!@</t>
  </si>
  <si>
    <t>799ws!@</t>
  </si>
  <si>
    <t>965wm!@</t>
  </si>
  <si>
    <t>260wf!@</t>
  </si>
  <si>
    <t>996wc!@</t>
  </si>
  <si>
    <t>790vx!@</t>
  </si>
  <si>
    <t>110vs!@</t>
  </si>
  <si>
    <t>868ub!@</t>
  </si>
  <si>
    <t>891to!@</t>
  </si>
  <si>
    <t>371ta!@</t>
  </si>
  <si>
    <t>751ta!@</t>
  </si>
  <si>
    <t>924tp!@</t>
  </si>
  <si>
    <t>938rs!@</t>
  </si>
  <si>
    <t>414rm!@</t>
  </si>
  <si>
    <t>129rm!@</t>
  </si>
  <si>
    <t>804ra!@</t>
  </si>
  <si>
    <t>063pm!@</t>
  </si>
  <si>
    <t>287pa!@</t>
  </si>
  <si>
    <t>617mg!@</t>
  </si>
  <si>
    <t>212mc!@</t>
  </si>
  <si>
    <t>193ms!@</t>
  </si>
  <si>
    <t>647ms!@</t>
  </si>
  <si>
    <t>395mb!@</t>
  </si>
  <si>
    <t>584ms!@</t>
  </si>
  <si>
    <t>462lf!@</t>
  </si>
  <si>
    <t>428lb!@</t>
  </si>
  <si>
    <t>339la!@</t>
  </si>
  <si>
    <t>292ls!@</t>
  </si>
  <si>
    <t>780js!@</t>
  </si>
  <si>
    <t>759jm!@</t>
  </si>
  <si>
    <t>882ja!@</t>
  </si>
  <si>
    <t>005js!@</t>
  </si>
  <si>
    <t>973jf!@</t>
  </si>
  <si>
    <t>909jr!@</t>
  </si>
  <si>
    <t>834ja!@</t>
  </si>
  <si>
    <t>867ht!@</t>
  </si>
  <si>
    <t>841hk!@</t>
  </si>
  <si>
    <t>038gl!@</t>
  </si>
  <si>
    <t>493gp!@</t>
  </si>
  <si>
    <t>958gl!@</t>
  </si>
  <si>
    <t>968fc!@</t>
  </si>
  <si>
    <t>658fb!@</t>
  </si>
  <si>
    <t>564fc!@</t>
  </si>
  <si>
    <t>630es!@</t>
  </si>
  <si>
    <t>566eb!@</t>
  </si>
  <si>
    <t>157es!@</t>
  </si>
  <si>
    <t>837ei!@</t>
  </si>
  <si>
    <t>645eb!@</t>
  </si>
  <si>
    <t>574en!@</t>
  </si>
  <si>
    <t>650em!@</t>
  </si>
  <si>
    <t>160ep!@</t>
  </si>
  <si>
    <t>334ds!@</t>
  </si>
  <si>
    <t>410da!@</t>
  </si>
  <si>
    <t>517ds!@</t>
  </si>
  <si>
    <t>248dc!@</t>
  </si>
  <si>
    <t>222cg!@</t>
  </si>
  <si>
    <t>669bc!@</t>
  </si>
  <si>
    <t>042af!@</t>
  </si>
  <si>
    <t>906aa!@</t>
  </si>
  <si>
    <t>240aa!@</t>
  </si>
  <si>
    <t>386at!@</t>
  </si>
  <si>
    <t>049ac!@</t>
  </si>
  <si>
    <t>752as!@</t>
  </si>
  <si>
    <t>010ad!@</t>
  </si>
  <si>
    <t>897af!@</t>
  </si>
  <si>
    <t>893ap!@</t>
  </si>
  <si>
    <t>034al!@</t>
  </si>
  <si>
    <t>721as!@</t>
  </si>
  <si>
    <t>745at!@</t>
  </si>
  <si>
    <t>003cm!@</t>
  </si>
  <si>
    <t>505ds!@</t>
  </si>
  <si>
    <t>652ds!@</t>
  </si>
  <si>
    <t>530dc!@</t>
  </si>
  <si>
    <t>180dd!@</t>
  </si>
  <si>
    <t>639dm!@</t>
  </si>
  <si>
    <t>752eg!@</t>
  </si>
  <si>
    <t>882er!@</t>
  </si>
  <si>
    <t>974ep!@</t>
  </si>
  <si>
    <t>668fs!@</t>
  </si>
  <si>
    <t>784fs!@</t>
  </si>
  <si>
    <t>747fo!@</t>
  </si>
  <si>
    <t>712gs!@</t>
  </si>
  <si>
    <t>942gs!@</t>
  </si>
  <si>
    <t>697ia!@</t>
  </si>
  <si>
    <t>959is!@</t>
  </si>
  <si>
    <t>519jc!@</t>
  </si>
  <si>
    <t>629jf!@</t>
  </si>
  <si>
    <t>878js!@</t>
  </si>
  <si>
    <t>153js!@</t>
  </si>
  <si>
    <t>673jp!@</t>
  </si>
  <si>
    <t>834jp!@</t>
  </si>
  <si>
    <t>455jm!@</t>
  </si>
  <si>
    <t>226jm!@</t>
  </si>
  <si>
    <t>250js!@</t>
  </si>
  <si>
    <t>162js!@</t>
  </si>
  <si>
    <t>708ls!@</t>
  </si>
  <si>
    <t>187ms!@</t>
  </si>
  <si>
    <t>632mn!@</t>
  </si>
  <si>
    <t>955ms!@</t>
  </si>
  <si>
    <t>675mc!@</t>
  </si>
  <si>
    <t>202nn!@</t>
  </si>
  <si>
    <t>745pc!@</t>
  </si>
  <si>
    <t>390rs!@</t>
  </si>
  <si>
    <t>297rc!@</t>
  </si>
  <si>
    <t>227rs!@</t>
  </si>
  <si>
    <t>743ss!@</t>
  </si>
  <si>
    <t>887sa!@</t>
  </si>
  <si>
    <t>722tr!@</t>
  </si>
  <si>
    <t>410vs!@</t>
  </si>
  <si>
    <t>168wc!@</t>
  </si>
  <si>
    <t>102ac!@</t>
  </si>
  <si>
    <t>872ms!@</t>
  </si>
  <si>
    <t>925tt!@</t>
  </si>
  <si>
    <t>523ls!@</t>
  </si>
  <si>
    <t>729aa!@</t>
  </si>
  <si>
    <t>634ap!@</t>
  </si>
  <si>
    <t>894ao!@</t>
  </si>
  <si>
    <t>179ae!@</t>
  </si>
  <si>
    <t>813an!@</t>
  </si>
  <si>
    <t>391as!@</t>
  </si>
  <si>
    <t>517aa!@</t>
  </si>
  <si>
    <t>100aj!@</t>
  </si>
  <si>
    <t>338bs!@</t>
  </si>
  <si>
    <t>182bl!@</t>
  </si>
  <si>
    <t>001cm!@</t>
  </si>
  <si>
    <t>379dc!@</t>
  </si>
  <si>
    <t>602jm!@</t>
  </si>
  <si>
    <t>130ef!@</t>
  </si>
  <si>
    <t>714el!@</t>
  </si>
  <si>
    <t>554ia!@</t>
  </si>
  <si>
    <t>057ia!@</t>
  </si>
  <si>
    <t>680jr!@</t>
  </si>
  <si>
    <t>894lr!@</t>
  </si>
  <si>
    <t>058jf!@</t>
  </si>
  <si>
    <t>723lc!@</t>
  </si>
  <si>
    <t>889lc!@</t>
  </si>
  <si>
    <t>020ms!@</t>
  </si>
  <si>
    <t>448ip!@</t>
  </si>
  <si>
    <t>403mj!@</t>
  </si>
  <si>
    <t>684mq!@</t>
  </si>
  <si>
    <t>808mm!@</t>
  </si>
  <si>
    <t>526ms!@</t>
  </si>
  <si>
    <t>825ma!@</t>
  </si>
  <si>
    <t>592ns!@</t>
  </si>
  <si>
    <t>467nr!@</t>
  </si>
  <si>
    <t>166rp!@</t>
  </si>
  <si>
    <t>342ms!@</t>
  </si>
  <si>
    <t>718rr!@</t>
  </si>
  <si>
    <t>334sp!@</t>
  </si>
  <si>
    <t>681to!@</t>
  </si>
  <si>
    <t>512vs!@</t>
  </si>
  <si>
    <t>028wb!@</t>
  </si>
  <si>
    <t>e-mail novo avaliador</t>
  </si>
  <si>
    <t>Atualizado?</t>
  </si>
  <si>
    <t>571wf!@</t>
  </si>
  <si>
    <t>1º Envio</t>
  </si>
  <si>
    <t>milena.souza@enind.com.br</t>
  </si>
  <si>
    <t>amanda.costa@enind.com.br</t>
  </si>
  <si>
    <t>Sql Atuliza_Email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</si>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</sst>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</font>
    <font>
      <sz val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Alignment="1">
      <alignment horizontal="left"/>
    </xf>
    <xf numFmtId="0" fontId="2" fillId="0" borderId="0" xfId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2" borderId="0" xfId="1" applyFill="1" applyAlignment="1">
      <alignment vertical="center"/>
    </xf>
    <xf numFmtId="0" fontId="0" fillId="3" borderId="0" xfId="0" applyFill="1" applyAlignment="1">
      <alignment vertical="center"/>
    </xf>
  </cellXfs>
  <cellStyles count="2">
    <cellStyle name="Hiperlink" xfId="1" builtinId="8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DC3C7-E9A3-417B-9D36-7AAC353CADC8}" name="Tabela1" displayName="Tabela1" ref="A1:Q391" totalsRowShown="0">
  <autoFilter ref="A1:Q391" xr:uid="{F3ADC3C7-E9A3-417B-9D36-7AAC353CADC8}"/>
  <tableColumns count="17">
    <tableColumn id="1" xr3:uid="{1EE8BBD9-CC9C-488B-9D75-6363CD6C86F1}" name="Participante"/>
    <tableColumn id="2" xr3:uid="{D83259D8-309A-419C-B320-342D6BCF6C73}" name="Avaliador"/>
    <tableColumn id="3" xr3:uid="{F718E0AE-C693-46A2-BFA3-CF2210C246D1}" name="Email"/>
    <tableColumn id="4" xr3:uid="{A5359983-F710-4EF4-8C33-6F6500DFDB37}" name="Tipo_aval"/>
    <tableColumn id="5" xr3:uid="{96DAF741-F652-4764-BAFE-773BA36B7853}" name="login_aval" dataDxfId="12">
      <calculatedColumnFormula>VLOOKUP(Tabela1[[#This Row],[Avaliador]],Usuários!A:I,COLUMN($H$1),0)</calculatedColumnFormula>
    </tableColumn>
    <tableColumn id="6" xr3:uid="{22419AAF-52BA-4B62-9776-309C5BEE8089}" name="senha_aval" dataDxfId="11">
      <calculatedColumnFormula>VLOOKUP(Tabela1[[#This Row],[Avaliador]],Usuários!$A:$I,COLUMN($I$1),0)</calculatedColumnFormula>
    </tableColumn>
    <tableColumn id="7" xr3:uid="{47DDA20D-A3CB-45EC-8AE8-A9489754C0AC}" name="login_part" dataDxfId="10">
      <calculatedColumnFormula>VLOOKUP(Tabela1[[#This Row],[Participante]],Usuários!$A:$I,COLUMN($H$1),0)</calculatedColumnFormula>
    </tableColumn>
    <tableColumn id="8" xr3:uid="{6430815F-B10A-450E-B596-4FE7DA66E86D}" name="senha_part" dataDxfId="9">
      <calculatedColumnFormula>VLOOKUP(Tabela1[[#This Row],[Participante]],Usuários!$A:$I,COLUMN($I$1),0)</calculatedColumnFormula>
    </tableColumn>
    <tableColumn id="9" xr3:uid="{0330CC70-E56C-4012-A151-803C697AF08E}" name="Resp_Part" dataDxfId="8"/>
    <tableColumn id="10" xr3:uid="{76F5BA88-8CFE-44F4-801E-8A7D571E304E}" name="Resp_Av1" dataDxfId="7"/>
    <tableColumn id="11" xr3:uid="{047225E6-2D12-4983-8A0F-AED74119911D}" name="email_repres"/>
    <tableColumn id="12" xr3:uid="{99BA3D40-0EFE-4ADC-A508-AC5627461AC7}" name="Tipo_Av"/>
    <tableColumn id="13" xr3:uid="{2F018D0F-7DDF-4FC2-99A7-3C257F39F107}" name="Status" dataDxfId="6">
      <calculatedColumnFormula>IF(Tabela1[[#This Row],[Tipo_aval]]="auto","Ok",IF(ISERROR(VLOOKUP(Tabela1[[#This Row],[Participante]],Atualização!$B:$B,1,FALSE)),"Ok","Atualizar"))</calculatedColumnFormula>
    </tableColumn>
    <tableColumn id="14" xr3:uid="{EB51F5FD-C129-4FA9-A58A-9531612CE03F}" name="Novo_Avaliador" dataDxfId="5">
      <calculatedColumnFormula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calculatedColumnFormula>
    </tableColumn>
    <tableColumn id="15" xr3:uid="{ACDBC65F-EC44-4DD7-AF4F-52D12A1BC0ED}" name="e-mail novo avaliador" dataDxfId="4">
      <calculatedColumnFormula>IF(IFERROR(VLOOKUP(Tabela1[[#This Row],[Novo_Avaliador]],Usuários!$A:$B,2,FALSE),"")="","",IFERROR(VLOOKUP(Tabela1[[#This Row],[Novo_Avaliador]],Usuários!$A:$B,2,FALSE),""))</calculatedColumnFormula>
    </tableColumn>
    <tableColumn id="16" xr3:uid="{C6408CAE-2C43-411D-B4E3-2615A2678B61}" name="Atualizado?" dataDxfId="3">
      <calculatedColumnFormula>IF(Tabela1[[#This Row],[Novo_Avaliador]]=Tabela1[[#This Row],[Avaliador]],"Sim","Não")</calculatedColumnFormula>
    </tableColumn>
    <tableColumn id="17" xr3:uid="{0B58B674-A96E-4F08-9366-C51A679445EC}" name="Coluna1" dataDxfId="2">
      <calculatedColumnFormula>Tabela1[[#This Row],[email_repres]]=Tabela1[[#This Row],[e-mail novo avaliador]]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tonio.santos@enind.com.br" TargetMode="External"/><Relationship Id="rId13" Type="http://schemas.openxmlformats.org/officeDocument/2006/relationships/hyperlink" Target="mailto:lucas.almeida@enind.com.br" TargetMode="External"/><Relationship Id="rId3" Type="http://schemas.openxmlformats.org/officeDocument/2006/relationships/hyperlink" Target="mailto:hilton.torres@enind.com.br" TargetMode="External"/><Relationship Id="rId7" Type="http://schemas.openxmlformats.org/officeDocument/2006/relationships/hyperlink" Target="mailto:everaldo.silva@enind.com.br" TargetMode="External"/><Relationship Id="rId12" Type="http://schemas.openxmlformats.org/officeDocument/2006/relationships/hyperlink" Target="mailto:wilson.fernandes@enind.com.br" TargetMode="External"/><Relationship Id="rId2" Type="http://schemas.openxmlformats.org/officeDocument/2006/relationships/hyperlink" Target="mailto:jean.oliveira@enind.com.br" TargetMode="External"/><Relationship Id="rId1" Type="http://schemas.openxmlformats.org/officeDocument/2006/relationships/hyperlink" Target="mailto:hilton.torres@enind.com.br" TargetMode="External"/><Relationship Id="rId6" Type="http://schemas.openxmlformats.org/officeDocument/2006/relationships/hyperlink" Target="mailto:everaldo.silva@enind.com.br" TargetMode="External"/><Relationship Id="rId11" Type="http://schemas.openxmlformats.org/officeDocument/2006/relationships/hyperlink" Target="mailto:luana.silva@enind.com.br" TargetMode="External"/><Relationship Id="rId5" Type="http://schemas.openxmlformats.org/officeDocument/2006/relationships/hyperlink" Target="mailto:everaldo.silva@enind.com.br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juliana.melo@enind.com.br" TargetMode="External"/><Relationship Id="rId4" Type="http://schemas.openxmlformats.org/officeDocument/2006/relationships/hyperlink" Target="mailto:everaldo.silva@enind.com.br" TargetMode="External"/><Relationship Id="rId9" Type="http://schemas.openxmlformats.org/officeDocument/2006/relationships/hyperlink" Target="mailto:hilton.torres@enind.com.br" TargetMode="External"/><Relationship Id="rId1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merson.leo@enindservicos.com.br" TargetMode="External"/><Relationship Id="rId7" Type="http://schemas.openxmlformats.org/officeDocument/2006/relationships/hyperlink" Target="mailto:jose.martins@enindservicos.com.br" TargetMode="External"/><Relationship Id="rId2" Type="http://schemas.openxmlformats.org/officeDocument/2006/relationships/hyperlink" Target="mailto:marcos.queiroz@enindservicos.com.br" TargetMode="External"/><Relationship Id="rId1" Type="http://schemas.openxmlformats.org/officeDocument/2006/relationships/hyperlink" Target="mailto:milena.souza@enind.com.br" TargetMode="External"/><Relationship Id="rId6" Type="http://schemas.openxmlformats.org/officeDocument/2006/relationships/hyperlink" Target="mailto:amanda.costa@enind.com.br" TargetMode="External"/><Relationship Id="rId5" Type="http://schemas.openxmlformats.org/officeDocument/2006/relationships/hyperlink" Target="mailto:andre.nascimento@enindservicos.com.br" TargetMode="External"/><Relationship Id="rId4" Type="http://schemas.openxmlformats.org/officeDocument/2006/relationships/hyperlink" Target="mailto:eder.fernandes@enindservico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C2C1-2B6C-4947-A048-82C1CA408DE6}">
  <sheetPr codeName="Planilha1"/>
  <dimension ref="A1:Q391"/>
  <sheetViews>
    <sheetView tabSelected="1" topLeftCell="D1" workbookViewId="0">
      <selection activeCell="L91" sqref="L91"/>
    </sheetView>
  </sheetViews>
  <sheetFormatPr defaultRowHeight="15" x14ac:dyDescent="0.25"/>
  <cols>
    <col min="1" max="3" width="37.5703125" bestFit="1" customWidth="1"/>
    <col min="4" max="4" width="12" bestFit="1" customWidth="1"/>
    <col min="5" max="5" width="20.85546875" bestFit="1" customWidth="1"/>
    <col min="6" max="6" width="13.140625" bestFit="1" customWidth="1"/>
    <col min="7" max="7" width="12" customWidth="1"/>
    <col min="8" max="8" width="13" customWidth="1"/>
    <col min="9" max="9" width="14.5703125" style="1" bestFit="1" customWidth="1"/>
    <col min="10" max="10" width="14.140625" style="1" bestFit="1" customWidth="1"/>
    <col min="11" max="11" width="39.85546875" bestFit="1" customWidth="1"/>
    <col min="12" max="12" width="10.28515625" customWidth="1"/>
    <col min="13" max="13" width="9" bestFit="1" customWidth="1"/>
    <col min="14" max="14" width="37.5703125" bestFit="1" customWidth="1"/>
    <col min="15" max="15" width="39.85546875" bestFit="1" customWidth="1"/>
    <col min="16" max="16" width="13.5703125" bestFit="1" customWidth="1"/>
    <col min="17" max="17" width="12.140625" bestFit="1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314</v>
      </c>
      <c r="E1" s="4" t="s">
        <v>293</v>
      </c>
      <c r="F1" s="4" t="s">
        <v>311</v>
      </c>
      <c r="G1" s="4" t="s">
        <v>294</v>
      </c>
      <c r="H1" s="4" t="s">
        <v>310</v>
      </c>
      <c r="I1" s="5" t="s">
        <v>312</v>
      </c>
      <c r="J1" s="5" t="s">
        <v>305</v>
      </c>
      <c r="K1" s="4" t="s">
        <v>306</v>
      </c>
      <c r="L1" t="s">
        <v>313</v>
      </c>
      <c r="M1" t="s">
        <v>578</v>
      </c>
      <c r="N1" t="s">
        <v>436</v>
      </c>
      <c r="O1" t="s">
        <v>732</v>
      </c>
      <c r="P1" t="s">
        <v>733</v>
      </c>
      <c r="Q1" t="s">
        <v>739</v>
      </c>
    </row>
    <row r="2" spans="1:17" x14ac:dyDescent="0.25">
      <c r="A2" s="2" t="s">
        <v>3</v>
      </c>
      <c r="B2" s="2" t="s">
        <v>3</v>
      </c>
      <c r="C2" s="2" t="s">
        <v>4</v>
      </c>
      <c r="D2" s="2" t="s">
        <v>295</v>
      </c>
      <c r="E2" s="2" t="str">
        <f>VLOOKUP(Tabela1[[#This Row],[Avaliador]],Usuários!A:I,COLUMN($H$1),0)</f>
        <v>adenilson.castro</v>
      </c>
      <c r="F2" s="2" t="str">
        <f>VLOOKUP(Tabela1[[#This Row],[Avaliador]],Usuários!$A:$I,COLUMN($I$1),0)</f>
        <v>049ac!@</v>
      </c>
      <c r="G2" s="2" t="str">
        <f>VLOOKUP(Tabela1[[#This Row],[Participante]],Usuários!$A:$I,COLUMN($H$1),0)</f>
        <v>adenilson.castro</v>
      </c>
      <c r="H2" s="2" t="str">
        <f>VLOOKUP(Tabela1[[#This Row],[Participante]],Usuários!$A:$I,COLUMN($I$1),0)</f>
        <v>049ac!@</v>
      </c>
      <c r="I2" s="1" t="s">
        <v>6</v>
      </c>
      <c r="J2" s="1" t="s">
        <v>16</v>
      </c>
      <c r="K2" t="s">
        <v>4</v>
      </c>
      <c r="L2" t="s">
        <v>307</v>
      </c>
      <c r="M2" t="str">
        <f>IF(Tabela1[[#This Row],[Tipo_aval]]="auto","Ok",IF(ISERROR(VLOOKUP(Tabela1[[#This Row],[Participante]],Atualização!$B:$B,1,FALSE)),"Ok","Atualizar"))</f>
        <v>Ok</v>
      </c>
      <c r="N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Adenilson Lopes de Castro</v>
      </c>
      <c r="O2" t="str">
        <f>IF(IFERROR(VLOOKUP(Tabela1[[#This Row],[Novo_Avaliador]],Usuários!$A:$B,2,FALSE),"")="","",IFERROR(VLOOKUP(Tabela1[[#This Row],[Novo_Avaliador]],Usuários!$A:$B,2,FALSE),""))</f>
        <v>adenilson.castro@enind.com.br</v>
      </c>
      <c r="P2" t="str">
        <f>IF(Tabela1[[#This Row],[Novo_Avaliador]]=Tabela1[[#This Row],[Avaliador]],"Sim","Não")</f>
        <v>Sim</v>
      </c>
      <c r="Q2" t="b">
        <f>Tabela1[[#This Row],[email_repres]]=Tabela1[[#This Row],[e-mail novo avaliador]]</f>
        <v>1</v>
      </c>
    </row>
    <row r="3" spans="1:17" x14ac:dyDescent="0.25">
      <c r="A3" s="2" t="s">
        <v>11</v>
      </c>
      <c r="B3" s="2" t="s">
        <v>3</v>
      </c>
      <c r="C3" s="2" t="s">
        <v>4</v>
      </c>
      <c r="D3" s="2" t="s">
        <v>297</v>
      </c>
      <c r="E3" s="2" t="str">
        <f>VLOOKUP(Tabela1[[#This Row],[Avaliador]],Usuários!A:I,COLUMN($H$1),0)</f>
        <v>adenilson.castro</v>
      </c>
      <c r="F3" s="2" t="str">
        <f>VLOOKUP(Tabela1[[#This Row],[Avaliador]],Usuários!$A:$I,COLUMN($I$1),0)</f>
        <v>049ac!@</v>
      </c>
      <c r="G3" s="2" t="str">
        <f>VLOOKUP(Tabela1[[#This Row],[Participante]],Usuários!$A:$I,COLUMN($H$1),0)</f>
        <v>silvio.almeida</v>
      </c>
      <c r="H3" s="2" t="str">
        <f>VLOOKUP(Tabela1[[#This Row],[Participante]],Usuários!$A:$I,COLUMN($I$1),0)</f>
        <v>887sa!@</v>
      </c>
      <c r="I3" s="1" t="s">
        <v>6</v>
      </c>
      <c r="J3" s="1" t="s">
        <v>16</v>
      </c>
      <c r="K3" t="s">
        <v>4</v>
      </c>
      <c r="L3" t="s">
        <v>308</v>
      </c>
      <c r="M3" t="str">
        <f>IF(Tabela1[[#This Row],[Tipo_aval]]="auto","Ok",IF(ISERROR(VLOOKUP(Tabela1[[#This Row],[Participante]],Atualização!$B:$B,1,FALSE)),"Ok","Atualizar"))</f>
        <v>Ok</v>
      </c>
      <c r="N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Adenilson Lopes de Castro</v>
      </c>
      <c r="O3" t="str">
        <f>IF(IFERROR(VLOOKUP(Tabela1[[#This Row],[Novo_Avaliador]],Usuários!$A:$B,2,FALSE),"")="","",IFERROR(VLOOKUP(Tabela1[[#This Row],[Novo_Avaliador]],Usuários!$A:$B,2,FALSE),""))</f>
        <v>adenilson.castro@enind.com.br</v>
      </c>
      <c r="P3" t="str">
        <f>IF(Tabela1[[#This Row],[Novo_Avaliador]]=Tabela1[[#This Row],[Avaliador]],"Sim","Não")</f>
        <v>Sim</v>
      </c>
      <c r="Q3" t="b">
        <f>Tabela1[[#This Row],[email_repres]]=Tabela1[[#This Row],[e-mail novo avaliador]]</f>
        <v>1</v>
      </c>
    </row>
    <row r="4" spans="1:17" x14ac:dyDescent="0.25">
      <c r="A4" s="2" t="s">
        <v>19</v>
      </c>
      <c r="B4" s="2" t="s">
        <v>19</v>
      </c>
      <c r="C4" s="2" t="s">
        <v>20</v>
      </c>
      <c r="D4" s="2" t="s">
        <v>295</v>
      </c>
      <c r="E4" s="2" t="str">
        <f>VLOOKUP(Tabela1[[#This Row],[Avaliador]],Usuários!A:I,COLUMN($H$1),0)</f>
        <v>alessandra.tambellini</v>
      </c>
      <c r="F4" s="2" t="str">
        <f>VLOOKUP(Tabela1[[#This Row],[Avaliador]],Usuários!$A:$I,COLUMN($I$1),0)</f>
        <v>386at!@</v>
      </c>
      <c r="G4" s="2" t="str">
        <f>VLOOKUP(Tabela1[[#This Row],[Participante]],Usuários!$A:$I,COLUMN($H$1),0)</f>
        <v>alessandra.tambellini</v>
      </c>
      <c r="H4" s="2" t="str">
        <f>VLOOKUP(Tabela1[[#This Row],[Participante]],Usuários!$A:$I,COLUMN($I$1),0)</f>
        <v>386at!@</v>
      </c>
      <c r="I4" s="1" t="s">
        <v>6</v>
      </c>
      <c r="J4" s="1" t="s">
        <v>16</v>
      </c>
      <c r="K4" t="s">
        <v>20</v>
      </c>
      <c r="L4" t="s">
        <v>307</v>
      </c>
      <c r="M4" t="str">
        <f>IF(Tabela1[[#This Row],[Tipo_aval]]="auto","Ok",IF(ISERROR(VLOOKUP(Tabela1[[#This Row],[Participante]],Atualização!$B:$B,1,FALSE)),"Ok","Atualizar"))</f>
        <v>Ok</v>
      </c>
      <c r="N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Alessandra Maria Tambellini</v>
      </c>
      <c r="O4" t="str">
        <f>IF(IFERROR(VLOOKUP(Tabela1[[#This Row],[Novo_Avaliador]],Usuários!$A:$B,2,FALSE),"")="","",IFERROR(VLOOKUP(Tabela1[[#This Row],[Novo_Avaliador]],Usuários!$A:$B,2,FALSE),""))</f>
        <v>alessandra.tambellini@enind.com.br</v>
      </c>
      <c r="P4" t="str">
        <f>IF(Tabela1[[#This Row],[Novo_Avaliador]]=Tabela1[[#This Row],[Avaliador]],"Sim","Não")</f>
        <v>Sim</v>
      </c>
      <c r="Q4" t="b">
        <f>Tabela1[[#This Row],[email_repres]]=Tabela1[[#This Row],[e-mail novo avaliador]]</f>
        <v>1</v>
      </c>
    </row>
    <row r="5" spans="1:17" x14ac:dyDescent="0.25">
      <c r="A5" t="s">
        <v>316</v>
      </c>
      <c r="B5" t="s">
        <v>316</v>
      </c>
      <c r="C5" t="s">
        <v>354</v>
      </c>
      <c r="D5" t="s">
        <v>295</v>
      </c>
      <c r="E5" s="2" t="str">
        <f>VLOOKUP(Tabela1[[#This Row],[Avaliador]],Usuários!A:I,COLUMN($H$1),0)</f>
        <v>alexandre.armelin</v>
      </c>
      <c r="F5" s="2" t="str">
        <f>VLOOKUP(Tabela1[[#This Row],[Avaliador]],Usuários!$A:$I,COLUMN($I$1),0)</f>
        <v>729aa!@</v>
      </c>
      <c r="G5" s="2" t="str">
        <f>VLOOKUP(Tabela1[[#This Row],[Participante]],Usuários!$A:$I,COLUMN($H$1),0)</f>
        <v>alexandre.armelin</v>
      </c>
      <c r="H5" s="2" t="str">
        <f>VLOOKUP(Tabela1[[#This Row],[Participante]],Usuários!$A:$I,COLUMN($I$1),0)</f>
        <v>729aa!@</v>
      </c>
      <c r="I5" s="1" t="s">
        <v>6</v>
      </c>
      <c r="J5" s="1" t="s">
        <v>16</v>
      </c>
      <c r="K5" t="s">
        <v>354</v>
      </c>
      <c r="L5" t="s">
        <v>307</v>
      </c>
      <c r="M5" t="str">
        <f>IF(Tabela1[[#This Row],[Tipo_aval]]="auto","Ok",IF(ISERROR(VLOOKUP(Tabela1[[#This Row],[Participante]],Atualização!$B:$B,1,FALSE)),"Ok","Atualizar"))</f>
        <v>Ok</v>
      </c>
      <c r="N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Alexandre Armelin</v>
      </c>
      <c r="O5" t="str">
        <f>IF(IFERROR(VLOOKUP(Tabela1[[#This Row],[Novo_Avaliador]],Usuários!$A:$B,2,FALSE),"")="","",IFERROR(VLOOKUP(Tabela1[[#This Row],[Novo_Avaliador]],Usuários!$A:$B,2,FALSE),""))</f>
        <v>alexandre.armelin@enind.com.br</v>
      </c>
      <c r="P5" t="str">
        <f>IF(Tabela1[[#This Row],[Novo_Avaliador]]=Tabela1[[#This Row],[Avaliador]],"Sim","Não")</f>
        <v>Sim</v>
      </c>
      <c r="Q5" t="b">
        <f>Tabela1[[#This Row],[email_repres]]=Tabela1[[#This Row],[e-mail novo avaliador]]</f>
        <v>1</v>
      </c>
    </row>
    <row r="6" spans="1:17" x14ac:dyDescent="0.25">
      <c r="A6" s="2" t="s">
        <v>27</v>
      </c>
      <c r="B6" s="2" t="s">
        <v>27</v>
      </c>
      <c r="C6" s="2" t="s">
        <v>28</v>
      </c>
      <c r="D6" s="2" t="s">
        <v>295</v>
      </c>
      <c r="E6" s="2" t="str">
        <f>VLOOKUP(Tabela1[[#This Row],[Avaliador]],Usuários!A:I,COLUMN($H$1),0)</f>
        <v>alexandro.araujo</v>
      </c>
      <c r="F6" s="2" t="str">
        <f>VLOOKUP(Tabela1[[#This Row],[Avaliador]],Usuários!$A:$I,COLUMN($I$1),0)</f>
        <v>240aa!@</v>
      </c>
      <c r="G6" s="2" t="str">
        <f>VLOOKUP(Tabela1[[#This Row],[Participante]],Usuários!$A:$I,COLUMN($H$1),0)</f>
        <v>alexandro.araujo</v>
      </c>
      <c r="H6" s="2" t="str">
        <f>VLOOKUP(Tabela1[[#This Row],[Participante]],Usuários!$A:$I,COLUMN($I$1),0)</f>
        <v>240aa!@</v>
      </c>
      <c r="I6" s="1" t="s">
        <v>6</v>
      </c>
      <c r="J6" s="1" t="s">
        <v>16</v>
      </c>
      <c r="K6" t="s">
        <v>28</v>
      </c>
      <c r="L6" t="s">
        <v>307</v>
      </c>
      <c r="M6" t="str">
        <f>IF(Tabela1[[#This Row],[Tipo_aval]]="auto","Ok",IF(ISERROR(VLOOKUP(Tabela1[[#This Row],[Participante]],Atualização!$B:$B,1,FALSE)),"Ok","Atualizar"))</f>
        <v>Ok</v>
      </c>
      <c r="N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Alexandro Bezerra de Araujo</v>
      </c>
      <c r="O6" t="str">
        <f>IF(IFERROR(VLOOKUP(Tabela1[[#This Row],[Novo_Avaliador]],Usuários!$A:$B,2,FALSE),"")="","",IFERROR(VLOOKUP(Tabela1[[#This Row],[Novo_Avaliador]],Usuários!$A:$B,2,FALSE),""))</f>
        <v>alexandro.araujo@enind.com.br</v>
      </c>
      <c r="P6" t="str">
        <f>IF(Tabela1[[#This Row],[Novo_Avaliador]]=Tabela1[[#This Row],[Avaliador]],"Sim","Não")</f>
        <v>Sim</v>
      </c>
      <c r="Q6" t="b">
        <f>Tabela1[[#This Row],[email_repres]]=Tabela1[[#This Row],[e-mail novo avaliador]]</f>
        <v>1</v>
      </c>
    </row>
    <row r="7" spans="1:17" x14ac:dyDescent="0.25">
      <c r="A7" t="s">
        <v>318</v>
      </c>
      <c r="B7" t="s">
        <v>318</v>
      </c>
      <c r="C7" t="s">
        <v>356</v>
      </c>
      <c r="D7" t="s">
        <v>295</v>
      </c>
      <c r="E7" s="2" t="str">
        <f>VLOOKUP(Tabela1[[#This Row],[Avaliador]],Usuários!A:I,COLUMN($H$1),0)</f>
        <v>amanda.oliveira</v>
      </c>
      <c r="F7" s="2" t="str">
        <f>VLOOKUP(Tabela1[[#This Row],[Avaliador]],Usuários!$A:$I,COLUMN($I$1),0)</f>
        <v>894ao!@</v>
      </c>
      <c r="G7" s="2" t="str">
        <f>VLOOKUP(Tabela1[[#This Row],[Participante]],Usuários!$A:$I,COLUMN($H$1),0)</f>
        <v>amanda.oliveira</v>
      </c>
      <c r="H7" s="2" t="str">
        <f>VLOOKUP(Tabela1[[#This Row],[Participante]],Usuários!$A:$I,COLUMN($I$1),0)</f>
        <v>894ao!@</v>
      </c>
      <c r="I7" s="1" t="s">
        <v>6</v>
      </c>
      <c r="J7" s="1" t="s">
        <v>16</v>
      </c>
      <c r="K7" t="s">
        <v>737</v>
      </c>
      <c r="L7" t="s">
        <v>307</v>
      </c>
      <c r="M7" t="str">
        <f>IF(Tabela1[[#This Row],[Tipo_aval]]="auto","Ok",IF(ISERROR(VLOOKUP(Tabela1[[#This Row],[Participante]],Atualização!$B:$B,1,FALSE)),"Ok","Atualizar"))</f>
        <v>Ok</v>
      </c>
      <c r="N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Amanda Silva Costa Oliveira</v>
      </c>
      <c r="O7" t="str">
        <f>IF(IFERROR(VLOOKUP(Tabela1[[#This Row],[Novo_Avaliador]],Usuários!$A:$B,2,FALSE),"")="","",IFERROR(VLOOKUP(Tabela1[[#This Row],[Novo_Avaliador]],Usuários!$A:$B,2,FALSE),""))</f>
        <v>amanda.costa@enind.com.br</v>
      </c>
      <c r="P7" t="str">
        <f>IF(Tabela1[[#This Row],[Novo_Avaliador]]=Tabela1[[#This Row],[Avaliador]],"Sim","Não")</f>
        <v>Sim</v>
      </c>
      <c r="Q7" t="b">
        <f>Tabela1[[#This Row],[email_repres]]=Tabela1[[#This Row],[e-mail novo avaliador]]</f>
        <v>1</v>
      </c>
    </row>
    <row r="8" spans="1:17" x14ac:dyDescent="0.25">
      <c r="A8" t="s">
        <v>317</v>
      </c>
      <c r="B8" t="s">
        <v>317</v>
      </c>
      <c r="C8" t="s">
        <v>355</v>
      </c>
      <c r="D8" t="s">
        <v>295</v>
      </c>
      <c r="E8" s="2" t="str">
        <f>VLOOKUP(Tabela1[[#This Row],[Avaliador]],Usuários!A:I,COLUMN($H$1),0)</f>
        <v>amanda.paixao</v>
      </c>
      <c r="F8" s="2" t="str">
        <f>VLOOKUP(Tabela1[[#This Row],[Avaliador]],Usuários!$A:$I,COLUMN($I$1),0)</f>
        <v>634ap!@</v>
      </c>
      <c r="G8" s="2" t="str">
        <f>VLOOKUP(Tabela1[[#This Row],[Participante]],Usuários!$A:$I,COLUMN($H$1),0)</f>
        <v>amanda.paixao</v>
      </c>
      <c r="H8" s="2" t="str">
        <f>VLOOKUP(Tabela1[[#This Row],[Participante]],Usuários!$A:$I,COLUMN($I$1),0)</f>
        <v>634ap!@</v>
      </c>
      <c r="I8" s="1" t="s">
        <v>6</v>
      </c>
      <c r="J8" s="1" t="s">
        <v>16</v>
      </c>
      <c r="K8" t="s">
        <v>355</v>
      </c>
      <c r="L8" t="s">
        <v>307</v>
      </c>
      <c r="M8" t="str">
        <f>IF(Tabela1[[#This Row],[Tipo_aval]]="auto","Ok",IF(ISERROR(VLOOKUP(Tabela1[[#This Row],[Participante]],Atualização!$B:$B,1,FALSE)),"Ok","Atualizar"))</f>
        <v>Ok</v>
      </c>
      <c r="N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Amanda Nunes Paixao</v>
      </c>
      <c r="O8" t="str">
        <f>IF(IFERROR(VLOOKUP(Tabela1[[#This Row],[Novo_Avaliador]],Usuários!$A:$B,2,FALSE),"")="","",IFERROR(VLOOKUP(Tabela1[[#This Row],[Novo_Avaliador]],Usuários!$A:$B,2,FALSE),""))</f>
        <v>amanda.paixao@enind.com.br</v>
      </c>
      <c r="P8" t="str">
        <f>IF(Tabela1[[#This Row],[Novo_Avaliador]]=Tabela1[[#This Row],[Avaliador]],"Sim","Não")</f>
        <v>Sim</v>
      </c>
      <c r="Q8" t="b">
        <f>Tabela1[[#This Row],[email_repres]]=Tabela1[[#This Row],[e-mail novo avaliador]]</f>
        <v>1</v>
      </c>
    </row>
    <row r="9" spans="1:17" x14ac:dyDescent="0.25">
      <c r="A9" s="2" t="s">
        <v>33</v>
      </c>
      <c r="B9" s="2" t="s">
        <v>33</v>
      </c>
      <c r="C9" s="2" t="s">
        <v>34</v>
      </c>
      <c r="D9" s="2" t="s">
        <v>295</v>
      </c>
      <c r="E9" s="2" t="str">
        <f>VLOOKUP(Tabela1[[#This Row],[Avaliador]],Usuários!A:I,COLUMN($H$1),0)</f>
        <v>anderson.domingues</v>
      </c>
      <c r="F9" s="2" t="str">
        <f>VLOOKUP(Tabela1[[#This Row],[Avaliador]],Usuários!$A:$I,COLUMN($I$1),0)</f>
        <v>010ad!@</v>
      </c>
      <c r="G9" s="2" t="str">
        <f>VLOOKUP(Tabela1[[#This Row],[Participante]],Usuários!$A:$I,COLUMN($H$1),0)</f>
        <v>anderson.domingues</v>
      </c>
      <c r="H9" s="2" t="str">
        <f>VLOOKUP(Tabela1[[#This Row],[Participante]],Usuários!$A:$I,COLUMN($I$1),0)</f>
        <v>010ad!@</v>
      </c>
      <c r="I9" s="1" t="s">
        <v>6</v>
      </c>
      <c r="J9" s="1" t="s">
        <v>16</v>
      </c>
      <c r="K9" t="s">
        <v>34</v>
      </c>
      <c r="L9" t="s">
        <v>307</v>
      </c>
      <c r="M9" t="str">
        <f>IF(Tabela1[[#This Row],[Tipo_aval]]="auto","Ok",IF(ISERROR(VLOOKUP(Tabela1[[#This Row],[Participante]],Atualização!$B:$B,1,FALSE)),"Ok","Atualizar"))</f>
        <v>Ok</v>
      </c>
      <c r="N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Anderson Domingues da Silva</v>
      </c>
      <c r="O9" t="str">
        <f>IF(IFERROR(VLOOKUP(Tabela1[[#This Row],[Novo_Avaliador]],Usuários!$A:$B,2,FALSE),"")="","",IFERROR(VLOOKUP(Tabela1[[#This Row],[Novo_Avaliador]],Usuários!$A:$B,2,FALSE),""))</f>
        <v>anderson.domingues@enind.com.br</v>
      </c>
      <c r="P9" t="str">
        <f>IF(Tabela1[[#This Row],[Novo_Avaliador]]=Tabela1[[#This Row],[Avaliador]],"Sim","Não")</f>
        <v>Sim</v>
      </c>
      <c r="Q9" t="b">
        <f>Tabela1[[#This Row],[email_repres]]=Tabela1[[#This Row],[e-mail novo avaliador]]</f>
        <v>1</v>
      </c>
    </row>
    <row r="10" spans="1:17" x14ac:dyDescent="0.25">
      <c r="A10" t="s">
        <v>319</v>
      </c>
      <c r="B10" t="s">
        <v>319</v>
      </c>
      <c r="C10" t="s">
        <v>357</v>
      </c>
      <c r="D10" t="s">
        <v>295</v>
      </c>
      <c r="E10" s="2" t="str">
        <f>VLOOKUP(Tabela1[[#This Row],[Avaliador]],Usuários!A:I,COLUMN($H$1),0)</f>
        <v>andre.eusebio</v>
      </c>
      <c r="F10" s="2" t="str">
        <f>VLOOKUP(Tabela1[[#This Row],[Avaliador]],Usuários!$A:$I,COLUMN($I$1),0)</f>
        <v>179ae!@</v>
      </c>
      <c r="G10" s="2" t="str">
        <f>VLOOKUP(Tabela1[[#This Row],[Participante]],Usuários!$A:$I,COLUMN($H$1),0)</f>
        <v>andre.eusebio</v>
      </c>
      <c r="H10" s="2" t="str">
        <f>VLOOKUP(Tabela1[[#This Row],[Participante]],Usuários!$A:$I,COLUMN($I$1),0)</f>
        <v>179ae!@</v>
      </c>
      <c r="I10" s="1" t="s">
        <v>6</v>
      </c>
      <c r="J10" s="1" t="s">
        <v>16</v>
      </c>
      <c r="K10" t="s">
        <v>357</v>
      </c>
      <c r="L10" t="s">
        <v>307</v>
      </c>
      <c r="M10" t="str">
        <f>IF(Tabela1[[#This Row],[Tipo_aval]]="auto","Ok",IF(ISERROR(VLOOKUP(Tabela1[[#This Row],[Participante]],Atualização!$B:$B,1,FALSE)),"Ok","Atualizar"))</f>
        <v>Ok</v>
      </c>
      <c r="N1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Andre dos Santos Eusebio</v>
      </c>
      <c r="O10" t="str">
        <f>IF(IFERROR(VLOOKUP(Tabela1[[#This Row],[Novo_Avaliador]],Usuários!$A:$B,2,FALSE),"")="","",IFERROR(VLOOKUP(Tabela1[[#This Row],[Novo_Avaliador]],Usuários!$A:$B,2,FALSE),""))</f>
        <v>andre.eusebio@enind.com.br</v>
      </c>
      <c r="P10" t="str">
        <f>IF(Tabela1[[#This Row],[Novo_Avaliador]]=Tabela1[[#This Row],[Avaliador]],"Sim","Não")</f>
        <v>Sim</v>
      </c>
      <c r="Q10" t="b">
        <f>Tabela1[[#This Row],[email_repres]]=Tabela1[[#This Row],[e-mail novo avaliador]]</f>
        <v>1</v>
      </c>
    </row>
    <row r="11" spans="1:17" x14ac:dyDescent="0.25">
      <c r="A11" t="s">
        <v>320</v>
      </c>
      <c r="B11" t="s">
        <v>320</v>
      </c>
      <c r="C11" t="s">
        <v>427</v>
      </c>
      <c r="D11" t="s">
        <v>295</v>
      </c>
      <c r="E11" s="2" t="str">
        <f>VLOOKUP(Tabela1[[#This Row],[Avaliador]],Usuários!A:I,COLUMN($H$1),0)</f>
        <v>andre.nascimento</v>
      </c>
      <c r="F11" s="2" t="str">
        <f>VLOOKUP(Tabela1[[#This Row],[Avaliador]],Usuários!$A:$I,COLUMN($I$1),0)</f>
        <v>813an!@</v>
      </c>
      <c r="G11" s="2" t="str">
        <f>VLOOKUP(Tabela1[[#This Row],[Participante]],Usuários!$A:$I,COLUMN($H$1),0)</f>
        <v>andre.nascimento</v>
      </c>
      <c r="H11" s="2" t="str">
        <f>VLOOKUP(Tabela1[[#This Row],[Participante]],Usuários!$A:$I,COLUMN($I$1),0)</f>
        <v>813an!@</v>
      </c>
      <c r="I11" s="1" t="s">
        <v>6</v>
      </c>
      <c r="J11" s="1" t="s">
        <v>16</v>
      </c>
      <c r="K11" t="s">
        <v>427</v>
      </c>
      <c r="L11" t="s">
        <v>307</v>
      </c>
      <c r="M11" t="str">
        <f>IF(Tabela1[[#This Row],[Tipo_aval]]="auto","Ok",IF(ISERROR(VLOOKUP(Tabela1[[#This Row],[Participante]],Atualização!$B:$B,1,FALSE)),"Ok","Atualizar"))</f>
        <v>Ok</v>
      </c>
      <c r="N1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Andre Luiz do Nascimento</v>
      </c>
      <c r="O11" t="str">
        <f>IF(IFERROR(VLOOKUP(Tabela1[[#This Row],[Novo_Avaliador]],Usuários!$A:$B,2,FALSE),"")="","",IFERROR(VLOOKUP(Tabela1[[#This Row],[Novo_Avaliador]],Usuários!$A:$B,2,FALSE),""))</f>
        <v>andre.nascimento@enindservicos.com.br</v>
      </c>
      <c r="P11" t="str">
        <f>IF(Tabela1[[#This Row],[Novo_Avaliador]]=Tabela1[[#This Row],[Avaliador]],"Sim","Não")</f>
        <v>Sim</v>
      </c>
      <c r="Q11" t="b">
        <f>Tabela1[[#This Row],[email_repres]]=Tabela1[[#This Row],[e-mail novo avaliador]]</f>
        <v>1</v>
      </c>
    </row>
    <row r="12" spans="1:17" x14ac:dyDescent="0.25">
      <c r="A12" t="s">
        <v>322</v>
      </c>
      <c r="B12" t="s">
        <v>322</v>
      </c>
      <c r="C12" t="s">
        <v>359</v>
      </c>
      <c r="D12" t="s">
        <v>295</v>
      </c>
      <c r="E12" s="2" t="str">
        <f>VLOOKUP(Tabela1[[#This Row],[Avaliador]],Usuários!A:I,COLUMN($H$1),0)</f>
        <v>antonio.almeida</v>
      </c>
      <c r="F12" s="2" t="str">
        <f>VLOOKUP(Tabela1[[#This Row],[Avaliador]],Usuários!$A:$I,COLUMN($I$1),0)</f>
        <v>517aa!@</v>
      </c>
      <c r="G12" s="2" t="str">
        <f>VLOOKUP(Tabela1[[#This Row],[Participante]],Usuários!$A:$I,COLUMN($H$1),0)</f>
        <v>antonio.almeida</v>
      </c>
      <c r="H12" s="2" t="str">
        <f>VLOOKUP(Tabela1[[#This Row],[Participante]],Usuários!$A:$I,COLUMN($I$1),0)</f>
        <v>517aa!@</v>
      </c>
      <c r="I12" s="1" t="s">
        <v>6</v>
      </c>
      <c r="J12" s="1" t="s">
        <v>16</v>
      </c>
      <c r="K12" t="s">
        <v>359</v>
      </c>
      <c r="L12" t="s">
        <v>307</v>
      </c>
      <c r="M12" t="str">
        <f>IF(Tabela1[[#This Row],[Tipo_aval]]="auto","Ok",IF(ISERROR(VLOOKUP(Tabela1[[#This Row],[Participante]],Atualização!$B:$B,1,FALSE)),"Ok","Atualizar"))</f>
        <v>Ok</v>
      </c>
      <c r="N1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Luis Ribeiro de Almeida Junior</v>
      </c>
      <c r="O12" t="str">
        <f>IF(IFERROR(VLOOKUP(Tabela1[[#This Row],[Novo_Avaliador]],Usuários!$A:$B,2,FALSE),"")="","",IFERROR(VLOOKUP(Tabela1[[#This Row],[Novo_Avaliador]],Usuários!$A:$B,2,FALSE),""))</f>
        <v>antonio.almeida@enind.com.br</v>
      </c>
      <c r="P12" t="str">
        <f>IF(Tabela1[[#This Row],[Novo_Avaliador]]=Tabela1[[#This Row],[Avaliador]],"Sim","Não")</f>
        <v>Sim</v>
      </c>
      <c r="Q12" t="b">
        <f>Tabela1[[#This Row],[email_repres]]=Tabela1[[#This Row],[e-mail novo avaliador]]</f>
        <v>1</v>
      </c>
    </row>
    <row r="13" spans="1:17" x14ac:dyDescent="0.25">
      <c r="A13" s="2" t="s">
        <v>148</v>
      </c>
      <c r="B13" s="2" t="s">
        <v>285</v>
      </c>
      <c r="C13" t="s">
        <v>315</v>
      </c>
      <c r="D13" s="2" t="s">
        <v>297</v>
      </c>
      <c r="E13" s="2" t="str">
        <f>VLOOKUP(Tabela1[[#This Row],[Avaliador]],Usuários!A:I,COLUMN($H$1),0)</f>
        <v>antonio.aloisio</v>
      </c>
      <c r="F13" s="2" t="str">
        <f>VLOOKUP(Tabela1[[#This Row],[Avaliador]],Usuários!$A:$I,COLUMN($I$1),0)</f>
        <v>906aa!@</v>
      </c>
      <c r="G13" s="2" t="str">
        <f>VLOOKUP(Tabela1[[#This Row],[Participante]],Usuários!$A:$I,COLUMN($H$1),0)</f>
        <v>fabiano.sousa</v>
      </c>
      <c r="H13" s="2" t="str">
        <f>VLOOKUP(Tabela1[[#This Row],[Participante]],Usuários!$A:$I,COLUMN($I$1),0)</f>
        <v>668fs!@</v>
      </c>
      <c r="I13" s="1" t="s">
        <v>16</v>
      </c>
      <c r="J13" s="1" t="s">
        <v>16</v>
      </c>
      <c r="K13" t="s">
        <v>315</v>
      </c>
      <c r="L13" t="s">
        <v>307</v>
      </c>
      <c r="M13" t="str">
        <f>IF(Tabela1[[#This Row],[Tipo_aval]]="auto","Ok",IF(ISERROR(VLOOKUP(Tabela1[[#This Row],[Participante]],Atualização!$B:$B,1,FALSE)),"Ok","Atualizar"))</f>
        <v>Ok</v>
      </c>
      <c r="N1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 Santos Filho</v>
      </c>
      <c r="O13" t="str">
        <f>IF(IFERROR(VLOOKUP(Tabela1[[#This Row],[Novo_Avaliador]],Usuários!$A:$B,2,FALSE),"")="","",IFERROR(VLOOKUP(Tabela1[[#This Row],[Novo_Avaliador]],Usuários!$A:$B,2,FALSE),""))</f>
        <v>antonio.santos@enind.com.br</v>
      </c>
      <c r="P13" t="str">
        <f>IF(Tabela1[[#This Row],[Novo_Avaliador]]=Tabela1[[#This Row],[Avaliador]],"Sim","Não")</f>
        <v>Sim</v>
      </c>
      <c r="Q13" t="b">
        <f>Tabela1[[#This Row],[email_repres]]=Tabela1[[#This Row],[e-mail novo avaliador]]</f>
        <v>1</v>
      </c>
    </row>
    <row r="14" spans="1:17" x14ac:dyDescent="0.25">
      <c r="A14" s="2" t="s">
        <v>193</v>
      </c>
      <c r="B14" s="2" t="s">
        <v>285</v>
      </c>
      <c r="C14" t="s">
        <v>315</v>
      </c>
      <c r="D14" s="2" t="s">
        <v>297</v>
      </c>
      <c r="E14" s="2" t="str">
        <f>VLOOKUP(Tabela1[[#This Row],[Avaliador]],Usuários!A:I,COLUMN($H$1),0)</f>
        <v>antonio.aloisio</v>
      </c>
      <c r="F14" s="2" t="str">
        <f>VLOOKUP(Tabela1[[#This Row],[Avaliador]],Usuários!$A:$I,COLUMN($I$1),0)</f>
        <v>906aa!@</v>
      </c>
      <c r="G14" s="2" t="str">
        <f>VLOOKUP(Tabela1[[#This Row],[Participante]],Usuários!$A:$I,COLUMN($H$1),0)</f>
        <v>italo.andrade</v>
      </c>
      <c r="H14" s="2" t="str">
        <f>VLOOKUP(Tabela1[[#This Row],[Participante]],Usuários!$A:$I,COLUMN($I$1),0)</f>
        <v>697ia!@</v>
      </c>
      <c r="I14" s="1" t="s">
        <v>16</v>
      </c>
      <c r="J14" s="1" t="s">
        <v>16</v>
      </c>
      <c r="K14" t="s">
        <v>315</v>
      </c>
      <c r="L14" t="s">
        <v>307</v>
      </c>
      <c r="M14" t="str">
        <f>IF(Tabela1[[#This Row],[Tipo_aval]]="auto","Ok",IF(ISERROR(VLOOKUP(Tabela1[[#This Row],[Participante]],Atualização!$B:$B,1,FALSE)),"Ok","Atualizar"))</f>
        <v>Ok</v>
      </c>
      <c r="N1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 Santos Filho</v>
      </c>
      <c r="O14" t="str">
        <f>IF(IFERROR(VLOOKUP(Tabela1[[#This Row],[Novo_Avaliador]],Usuários!$A:$B,2,FALSE),"")="","",IFERROR(VLOOKUP(Tabela1[[#This Row],[Novo_Avaliador]],Usuários!$A:$B,2,FALSE),""))</f>
        <v>antonio.santos@enind.com.br</v>
      </c>
      <c r="P14" t="str">
        <f>IF(Tabela1[[#This Row],[Novo_Avaliador]]=Tabela1[[#This Row],[Avaliador]],"Sim","Não")</f>
        <v>Sim</v>
      </c>
      <c r="Q14" t="b">
        <f>Tabela1[[#This Row],[email_repres]]=Tabela1[[#This Row],[e-mail novo avaliador]]</f>
        <v>1</v>
      </c>
    </row>
    <row r="15" spans="1:17" x14ac:dyDescent="0.25">
      <c r="A15" s="2" t="s">
        <v>237</v>
      </c>
      <c r="B15" s="2" t="s">
        <v>285</v>
      </c>
      <c r="C15" t="s">
        <v>315</v>
      </c>
      <c r="D15" s="2" t="s">
        <v>297</v>
      </c>
      <c r="E15" s="2" t="str">
        <f>VLOOKUP(Tabela1[[#This Row],[Avaliador]],Usuários!A:I,COLUMN($H$1),0)</f>
        <v>antonio.aloisio</v>
      </c>
      <c r="F15" s="2" t="str">
        <f>VLOOKUP(Tabela1[[#This Row],[Avaliador]],Usuários!$A:$I,COLUMN($I$1),0)</f>
        <v>906aa!@</v>
      </c>
      <c r="G15" s="2" t="str">
        <f>VLOOKUP(Tabela1[[#This Row],[Participante]],Usuários!$A:$I,COLUMN($H$1),0)</f>
        <v>maria.sousa</v>
      </c>
      <c r="H15" s="2" t="str">
        <f>VLOOKUP(Tabela1[[#This Row],[Participante]],Usuários!$A:$I,COLUMN($I$1),0)</f>
        <v>955ms!@</v>
      </c>
      <c r="I15" s="1" t="s">
        <v>16</v>
      </c>
      <c r="J15" s="1" t="s">
        <v>16</v>
      </c>
      <c r="K15" t="s">
        <v>315</v>
      </c>
      <c r="L15" t="s">
        <v>307</v>
      </c>
      <c r="M15" t="str">
        <f>IF(Tabela1[[#This Row],[Tipo_aval]]="auto","Ok",IF(ISERROR(VLOOKUP(Tabela1[[#This Row],[Participante]],Atualização!$B:$B,1,FALSE)),"Ok","Atualizar"))</f>
        <v>Ok</v>
      </c>
      <c r="N1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 Santos Filho</v>
      </c>
      <c r="O15" t="str">
        <f>IF(IFERROR(VLOOKUP(Tabela1[[#This Row],[Novo_Avaliador]],Usuários!$A:$B,2,FALSE),"")="","",IFERROR(VLOOKUP(Tabela1[[#This Row],[Novo_Avaliador]],Usuários!$A:$B,2,FALSE),""))</f>
        <v>antonio.santos@enind.com.br</v>
      </c>
      <c r="P15" t="str">
        <f>IF(Tabela1[[#This Row],[Novo_Avaliador]]=Tabela1[[#This Row],[Avaliador]],"Sim","Não")</f>
        <v>Sim</v>
      </c>
      <c r="Q15" t="b">
        <f>Tabela1[[#This Row],[email_repres]]=Tabela1[[#This Row],[e-mail novo avaliador]]</f>
        <v>1</v>
      </c>
    </row>
    <row r="16" spans="1:17" x14ac:dyDescent="0.25">
      <c r="A16" s="2" t="s">
        <v>251</v>
      </c>
      <c r="B16" s="2" t="s">
        <v>285</v>
      </c>
      <c r="C16" t="s">
        <v>315</v>
      </c>
      <c r="D16" s="2" t="s">
        <v>297</v>
      </c>
      <c r="E16" s="2" t="str">
        <f>VLOOKUP(Tabela1[[#This Row],[Avaliador]],Usuários!A:I,COLUMN($H$1),0)</f>
        <v>antonio.aloisio</v>
      </c>
      <c r="F16" s="2" t="str">
        <f>VLOOKUP(Tabela1[[#This Row],[Avaliador]],Usuários!$A:$I,COLUMN($I$1),0)</f>
        <v>906aa!@</v>
      </c>
      <c r="G16" s="2" t="str">
        <f>VLOOKUP(Tabela1[[#This Row],[Participante]],Usuários!$A:$I,COLUMN($H$1),0)</f>
        <v>renan.cunha</v>
      </c>
      <c r="H16" s="2" t="str">
        <f>VLOOKUP(Tabela1[[#This Row],[Participante]],Usuários!$A:$I,COLUMN($I$1),0)</f>
        <v>297rc!@</v>
      </c>
      <c r="I16" s="1" t="s">
        <v>16</v>
      </c>
      <c r="J16" s="1" t="s">
        <v>16</v>
      </c>
      <c r="K16" t="s">
        <v>315</v>
      </c>
      <c r="L16" t="s">
        <v>307</v>
      </c>
      <c r="M16" t="str">
        <f>IF(Tabela1[[#This Row],[Tipo_aval]]="auto","Ok",IF(ISERROR(VLOOKUP(Tabela1[[#This Row],[Participante]],Atualização!$B:$B,1,FALSE)),"Ok","Atualizar"))</f>
        <v>Ok</v>
      </c>
      <c r="N1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 Santos Filho</v>
      </c>
      <c r="O16" t="str">
        <f>IF(IFERROR(VLOOKUP(Tabela1[[#This Row],[Novo_Avaliador]],Usuários!$A:$B,2,FALSE),"")="","",IFERROR(VLOOKUP(Tabela1[[#This Row],[Novo_Avaliador]],Usuários!$A:$B,2,FALSE),""))</f>
        <v>antonio.santos@enind.com.br</v>
      </c>
      <c r="P16" t="str">
        <f>IF(Tabela1[[#This Row],[Novo_Avaliador]]=Tabela1[[#This Row],[Avaliador]],"Sim","Não")</f>
        <v>Sim</v>
      </c>
      <c r="Q16" t="b">
        <f>Tabela1[[#This Row],[email_repres]]=Tabela1[[#This Row],[e-mail novo avaliador]]</f>
        <v>1</v>
      </c>
    </row>
    <row r="17" spans="1:17" x14ac:dyDescent="0.25">
      <c r="A17" s="2" t="s">
        <v>281</v>
      </c>
      <c r="B17" s="2" t="s">
        <v>285</v>
      </c>
      <c r="C17" t="s">
        <v>315</v>
      </c>
      <c r="D17" s="2" t="s">
        <v>297</v>
      </c>
      <c r="E17" s="2" t="str">
        <f>VLOOKUP(Tabela1[[#This Row],[Avaliador]],Usuários!A:I,COLUMN($H$1),0)</f>
        <v>antonio.aloisio</v>
      </c>
      <c r="F17" s="2" t="str">
        <f>VLOOKUP(Tabela1[[#This Row],[Avaliador]],Usuários!$A:$I,COLUMN($I$1),0)</f>
        <v>906aa!@</v>
      </c>
      <c r="G17" s="2" t="str">
        <f>VLOOKUP(Tabela1[[#This Row],[Participante]],Usuários!$A:$I,COLUMN($H$1),0)</f>
        <v>vinicius.silva</v>
      </c>
      <c r="H17" s="2" t="str">
        <f>VLOOKUP(Tabela1[[#This Row],[Participante]],Usuários!$A:$I,COLUMN($I$1),0)</f>
        <v>410vs!@</v>
      </c>
      <c r="I17" s="1" t="s">
        <v>16</v>
      </c>
      <c r="J17" s="1" t="s">
        <v>16</v>
      </c>
      <c r="K17" t="s">
        <v>315</v>
      </c>
      <c r="L17" t="s">
        <v>307</v>
      </c>
      <c r="M17" t="str">
        <f>IF(Tabela1[[#This Row],[Tipo_aval]]="auto","Ok",IF(ISERROR(VLOOKUP(Tabela1[[#This Row],[Participante]],Atualização!$B:$B,1,FALSE)),"Ok","Atualizar"))</f>
        <v>Ok</v>
      </c>
      <c r="N1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 Santos Filho</v>
      </c>
      <c r="O17" t="str">
        <f>IF(IFERROR(VLOOKUP(Tabela1[[#This Row],[Novo_Avaliador]],Usuários!$A:$B,2,FALSE),"")="","",IFERROR(VLOOKUP(Tabela1[[#This Row],[Novo_Avaliador]],Usuários!$A:$B,2,FALSE),""))</f>
        <v>antonio.santos@enind.com.br</v>
      </c>
      <c r="P17" t="str">
        <f>IF(Tabela1[[#This Row],[Novo_Avaliador]]=Tabela1[[#This Row],[Avaliador]],"Sim","Não")</f>
        <v>Sim</v>
      </c>
      <c r="Q17" t="b">
        <f>Tabela1[[#This Row],[email_repres]]=Tabela1[[#This Row],[e-mail novo avaliador]]</f>
        <v>1</v>
      </c>
    </row>
    <row r="18" spans="1:17" x14ac:dyDescent="0.25">
      <c r="A18" t="s">
        <v>321</v>
      </c>
      <c r="B18" t="s">
        <v>321</v>
      </c>
      <c r="C18" t="s">
        <v>315</v>
      </c>
      <c r="D18" t="s">
        <v>295</v>
      </c>
      <c r="E18" s="2" t="str">
        <f>VLOOKUP(Tabela1[[#This Row],[Avaliador]],Usuários!A:I,COLUMN($H$1),0)</f>
        <v>antonio.santos</v>
      </c>
      <c r="F18" s="2" t="str">
        <f>VLOOKUP(Tabela1[[#This Row],[Avaliador]],Usuários!$A:$I,COLUMN($I$1),0)</f>
        <v>391as!@</v>
      </c>
      <c r="G18" s="2" t="str">
        <f>VLOOKUP(Tabela1[[#This Row],[Participante]],Usuários!$A:$I,COLUMN($H$1),0)</f>
        <v>antonio.santos</v>
      </c>
      <c r="H18" s="2" t="str">
        <f>VLOOKUP(Tabela1[[#This Row],[Participante]],Usuários!$A:$I,COLUMN($I$1),0)</f>
        <v>391as!@</v>
      </c>
      <c r="I18" s="1" t="s">
        <v>6</v>
      </c>
      <c r="J18" s="1" t="s">
        <v>16</v>
      </c>
      <c r="K18" t="s">
        <v>315</v>
      </c>
      <c r="L18" t="s">
        <v>309</v>
      </c>
      <c r="M18" t="str">
        <f>IF(Tabela1[[#This Row],[Tipo_aval]]="auto","Ok",IF(ISERROR(VLOOKUP(Tabela1[[#This Row],[Participante]],Atualização!$B:$B,1,FALSE)),"Ok","Atualizar"))</f>
        <v>Ok</v>
      </c>
      <c r="N1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dos Santos Filho</v>
      </c>
      <c r="O18" t="str">
        <f>IF(IFERROR(VLOOKUP(Tabela1[[#This Row],[Novo_Avaliador]],Usuários!$A:$B,2,FALSE),"")="","",IFERROR(VLOOKUP(Tabela1[[#This Row],[Novo_Avaliador]],Usuários!$A:$B,2,FALSE),""))</f>
        <v>antonio.santos@enind.com.br</v>
      </c>
      <c r="P18" t="str">
        <f>IF(Tabela1[[#This Row],[Novo_Avaliador]]=Tabela1[[#This Row],[Avaliador]],"Sim","Não")</f>
        <v>Sim</v>
      </c>
      <c r="Q18" t="b">
        <f>Tabela1[[#This Row],[email_repres]]=Tabela1[[#This Row],[e-mail novo avaliador]]</f>
        <v>1</v>
      </c>
    </row>
    <row r="19" spans="1:17" x14ac:dyDescent="0.25">
      <c r="A19" s="2" t="s">
        <v>65</v>
      </c>
      <c r="B19" s="2" t="s">
        <v>285</v>
      </c>
      <c r="C19" s="2" t="s">
        <v>315</v>
      </c>
      <c r="D19" s="2" t="s">
        <v>297</v>
      </c>
      <c r="E19" s="2" t="str">
        <f>VLOOKUP(Tabela1[[#This Row],[Avaliador]],Usuários!A:I,COLUMN($H$1),0)</f>
        <v>antonio.aloisio</v>
      </c>
      <c r="F19" s="2" t="str">
        <f>VLOOKUP(Tabela1[[#This Row],[Avaliador]],Usuários!$A:$I,COLUMN($I$1),0)</f>
        <v>906aa!@</v>
      </c>
      <c r="G19" s="2" t="str">
        <f>VLOOKUP(Tabela1[[#This Row],[Participante]],Usuários!$A:$I,COLUMN($H$1),0)</f>
        <v>juliana.santos</v>
      </c>
      <c r="H19" s="2" t="str">
        <f>VLOOKUP(Tabela1[[#This Row],[Participante]],Usuários!$A:$I,COLUMN($I$1),0)</f>
        <v>780js!@</v>
      </c>
      <c r="I19" s="1" t="s">
        <v>16</v>
      </c>
      <c r="J19" s="1" t="s">
        <v>16</v>
      </c>
      <c r="K19" t="str">
        <f>Tabela1[[#This Row],[Email]]</f>
        <v>antonio.santos@enind.com.br</v>
      </c>
      <c r="L19" t="s">
        <v>307</v>
      </c>
      <c r="M19" t="str">
        <f>IF(Tabela1[[#This Row],[Tipo_aval]]="auto","Ok",IF(ISERROR(VLOOKUP(Tabela1[[#This Row],[Participante]],Atualização!$B:$B,1,FALSE)),"Ok","Atualizar"))</f>
        <v>Atualizar</v>
      </c>
      <c r="N1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Antonio Aloisio Ferreira do Santos Filho</v>
      </c>
      <c r="O19" t="str">
        <f>IF(IFERROR(VLOOKUP(Tabela1[[#This Row],[Novo_Avaliador]],Usuários!$A:$B,2,FALSE),"")="","",IFERROR(VLOOKUP(Tabela1[[#This Row],[Novo_Avaliador]],Usuários!$A:$B,2,FALSE),""))</f>
        <v>antonio.santos@enind.com.br</v>
      </c>
      <c r="P19" t="str">
        <f>IF(Tabela1[[#This Row],[Novo_Avaliador]]=Tabela1[[#This Row],[Avaliador]],"Sim","Não")</f>
        <v>Sim</v>
      </c>
      <c r="Q19" t="b">
        <f>Tabela1[[#This Row],[email_repres]]=Tabela1[[#This Row],[e-mail novo avaliador]]</f>
        <v>1</v>
      </c>
    </row>
    <row r="20" spans="1:17" x14ac:dyDescent="0.25">
      <c r="A20" s="2" t="s">
        <v>38</v>
      </c>
      <c r="B20" s="2" t="s">
        <v>38</v>
      </c>
      <c r="C20" s="2" t="s">
        <v>39</v>
      </c>
      <c r="D20" s="2" t="s">
        <v>295</v>
      </c>
      <c r="E20" s="2" t="str">
        <f>VLOOKUP(Tabela1[[#This Row],[Avaliador]],Usuários!A:I,COLUMN($H$1),0)</f>
        <v>augusto.freitas</v>
      </c>
      <c r="F20" s="2" t="str">
        <f>VLOOKUP(Tabela1[[#This Row],[Avaliador]],Usuários!$A:$I,COLUMN($I$1),0)</f>
        <v>042af!@</v>
      </c>
      <c r="G20" s="2" t="str">
        <f>VLOOKUP(Tabela1[[#This Row],[Participante]],Usuários!$A:$I,COLUMN($H$1),0)</f>
        <v>augusto.freitas</v>
      </c>
      <c r="H20" s="2" t="str">
        <f>VLOOKUP(Tabela1[[#This Row],[Participante]],Usuários!$A:$I,COLUMN($I$1),0)</f>
        <v>042af!@</v>
      </c>
      <c r="I20" s="1" t="s">
        <v>6</v>
      </c>
      <c r="J20" s="1" t="s">
        <v>16</v>
      </c>
      <c r="K20" t="s">
        <v>39</v>
      </c>
      <c r="L20" t="s">
        <v>309</v>
      </c>
      <c r="M20" t="str">
        <f>IF(Tabela1[[#This Row],[Tipo_aval]]="auto","Ok",IF(ISERROR(VLOOKUP(Tabela1[[#This Row],[Participante]],Atualização!$B:$B,1,FALSE)),"Ok","Atualizar"))</f>
        <v>Ok</v>
      </c>
      <c r="N2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0" t="str">
        <f>IF(IFERROR(VLOOKUP(Tabela1[[#This Row],[Novo_Avaliador]],Usuários!$A:$B,2,FALSE),"")="","",IFERROR(VLOOKUP(Tabela1[[#This Row],[Novo_Avaliador]],Usuários!$A:$B,2,FALSE),""))</f>
        <v>augusto.freitas@enind.com.br</v>
      </c>
      <c r="P20" t="str">
        <f>IF(Tabela1[[#This Row],[Novo_Avaliador]]=Tabela1[[#This Row],[Avaliador]],"Sim","Não")</f>
        <v>Sim</v>
      </c>
      <c r="Q20" t="b">
        <f>Tabela1[[#This Row],[email_repres]]=Tabela1[[#This Row],[e-mail novo avaliador]]</f>
        <v>1</v>
      </c>
    </row>
    <row r="21" spans="1:17" x14ac:dyDescent="0.25">
      <c r="A21" t="s">
        <v>319</v>
      </c>
      <c r="B21" t="s">
        <v>38</v>
      </c>
      <c r="C21" t="s">
        <v>39</v>
      </c>
      <c r="D21" t="s">
        <v>297</v>
      </c>
      <c r="E21" s="2" t="str">
        <f>VLOOKUP(Tabela1[[#This Row],[Avaliador]],Usuários!A:I,COLUMN($H$1),0)</f>
        <v>augusto.freitas</v>
      </c>
      <c r="F21" s="2" t="str">
        <f>VLOOKUP(Tabela1[[#This Row],[Avaliador]],Usuários!$A:$I,COLUMN($I$1),0)</f>
        <v>042af!@</v>
      </c>
      <c r="G21" s="2" t="str">
        <f>VLOOKUP(Tabela1[[#This Row],[Participante]],Usuários!$A:$I,COLUMN($H$1),0)</f>
        <v>andre.eusebio</v>
      </c>
      <c r="H21" s="2" t="str">
        <f>VLOOKUP(Tabela1[[#This Row],[Participante]],Usuários!$A:$I,COLUMN($I$1),0)</f>
        <v>179ae!@</v>
      </c>
      <c r="I21" s="1" t="s">
        <v>16</v>
      </c>
      <c r="J21" s="1" t="s">
        <v>16</v>
      </c>
      <c r="K21" t="s">
        <v>39</v>
      </c>
      <c r="L21" t="s">
        <v>307</v>
      </c>
      <c r="M21" t="str">
        <f>IF(Tabela1[[#This Row],[Tipo_aval]]="auto","Ok",IF(ISERROR(VLOOKUP(Tabela1[[#This Row],[Participante]],Atualização!$B:$B,1,FALSE)),"Ok","Atualizar"))</f>
        <v>Ok</v>
      </c>
      <c r="N2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1" t="str">
        <f>IF(IFERROR(VLOOKUP(Tabela1[[#This Row],[Novo_Avaliador]],Usuários!$A:$B,2,FALSE),"")="","",IFERROR(VLOOKUP(Tabela1[[#This Row],[Novo_Avaliador]],Usuários!$A:$B,2,FALSE),""))</f>
        <v>augusto.freitas@enind.com.br</v>
      </c>
      <c r="P21" t="str">
        <f>IF(Tabela1[[#This Row],[Novo_Avaliador]]=Tabela1[[#This Row],[Avaliador]],"Sim","Não")</f>
        <v>Sim</v>
      </c>
      <c r="Q21" t="b">
        <f>Tabela1[[#This Row],[email_repres]]=Tabela1[[#This Row],[e-mail novo avaliador]]</f>
        <v>1</v>
      </c>
    </row>
    <row r="22" spans="1:17" x14ac:dyDescent="0.25">
      <c r="A22" t="s">
        <v>323</v>
      </c>
      <c r="B22" t="s">
        <v>38</v>
      </c>
      <c r="C22" t="s">
        <v>39</v>
      </c>
      <c r="D22" t="s">
        <v>297</v>
      </c>
      <c r="E22" s="2" t="str">
        <f>VLOOKUP(Tabela1[[#This Row],[Avaliador]],Usuários!A:I,COLUMN($H$1),0)</f>
        <v>augusto.freitas</v>
      </c>
      <c r="F22" s="2" t="str">
        <f>VLOOKUP(Tabela1[[#This Row],[Avaliador]],Usuários!$A:$I,COLUMN($I$1),0)</f>
        <v>042af!@</v>
      </c>
      <c r="G22" s="2" t="str">
        <f>VLOOKUP(Tabela1[[#This Row],[Participante]],Usuários!$A:$I,COLUMN($H$1),0)</f>
        <v>augusto.junqueira</v>
      </c>
      <c r="H22" s="2" t="str">
        <f>VLOOKUP(Tabela1[[#This Row],[Participante]],Usuários!$A:$I,COLUMN($I$1),0)</f>
        <v>100aj!@</v>
      </c>
      <c r="I22" s="1" t="s">
        <v>16</v>
      </c>
      <c r="J22" s="1" t="s">
        <v>16</v>
      </c>
      <c r="K22" t="s">
        <v>39</v>
      </c>
      <c r="L22" t="s">
        <v>307</v>
      </c>
      <c r="M22" t="str">
        <f>IF(Tabela1[[#This Row],[Tipo_aval]]="auto","Ok",IF(ISERROR(VLOOKUP(Tabela1[[#This Row],[Participante]],Atualização!$B:$B,1,FALSE)),"Ok","Atualizar"))</f>
        <v>Ok</v>
      </c>
      <c r="N2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2" t="str">
        <f>IF(IFERROR(VLOOKUP(Tabela1[[#This Row],[Novo_Avaliador]],Usuários!$A:$B,2,FALSE),"")="","",IFERROR(VLOOKUP(Tabela1[[#This Row],[Novo_Avaliador]],Usuários!$A:$B,2,FALSE),""))</f>
        <v>augusto.freitas@enind.com.br</v>
      </c>
      <c r="P22" t="str">
        <f>IF(Tabela1[[#This Row],[Novo_Avaliador]]=Tabela1[[#This Row],[Avaliador]],"Sim","Não")</f>
        <v>Sim</v>
      </c>
      <c r="Q22" t="b">
        <f>Tabela1[[#This Row],[email_repres]]=Tabela1[[#This Row],[e-mail novo avaliador]]</f>
        <v>1</v>
      </c>
    </row>
    <row r="23" spans="1:17" x14ac:dyDescent="0.25">
      <c r="A23" t="s">
        <v>337</v>
      </c>
      <c r="B23" t="s">
        <v>38</v>
      </c>
      <c r="C23" t="s">
        <v>39</v>
      </c>
      <c r="D23" t="s">
        <v>297</v>
      </c>
      <c r="E23" s="2" t="str">
        <f>VLOOKUP(Tabela1[[#This Row],[Avaliador]],Usuários!A:I,COLUMN($H$1),0)</f>
        <v>augusto.freitas</v>
      </c>
      <c r="F23" s="2" t="str">
        <f>VLOOKUP(Tabela1[[#This Row],[Avaliador]],Usuários!$A:$I,COLUMN($I$1),0)</f>
        <v>042af!@</v>
      </c>
      <c r="G23" s="2" t="str">
        <f>VLOOKUP(Tabela1[[#This Row],[Participante]],Usuários!$A:$I,COLUMN($H$1),0)</f>
        <v>luan.carvalho</v>
      </c>
      <c r="H23" s="2" t="str">
        <f>VLOOKUP(Tabela1[[#This Row],[Participante]],Usuários!$A:$I,COLUMN($I$1),0)</f>
        <v>889lc!@</v>
      </c>
      <c r="I23" s="1" t="s">
        <v>16</v>
      </c>
      <c r="J23" s="1" t="s">
        <v>16</v>
      </c>
      <c r="K23" t="s">
        <v>39</v>
      </c>
      <c r="L23" t="s">
        <v>307</v>
      </c>
      <c r="M23" t="str">
        <f>IF(Tabela1[[#This Row],[Tipo_aval]]="auto","Ok",IF(ISERROR(VLOOKUP(Tabela1[[#This Row],[Participante]],Atualização!$B:$B,1,FALSE)),"Ok","Atualizar"))</f>
        <v>Ok</v>
      </c>
      <c r="N2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3" t="str">
        <f>IF(IFERROR(VLOOKUP(Tabela1[[#This Row],[Novo_Avaliador]],Usuários!$A:$B,2,FALSE),"")="","",IFERROR(VLOOKUP(Tabela1[[#This Row],[Novo_Avaliador]],Usuários!$A:$B,2,FALSE),""))</f>
        <v>augusto.freitas@enind.com.br</v>
      </c>
      <c r="P23" t="str">
        <f>IF(Tabela1[[#This Row],[Novo_Avaliador]]=Tabela1[[#This Row],[Avaliador]],"Sim","Não")</f>
        <v>Sim</v>
      </c>
      <c r="Q23" t="b">
        <f>Tabela1[[#This Row],[email_repres]]=Tabela1[[#This Row],[e-mail novo avaliador]]</f>
        <v>1</v>
      </c>
    </row>
    <row r="24" spans="1:17" x14ac:dyDescent="0.25">
      <c r="A24" t="s">
        <v>346</v>
      </c>
      <c r="B24" t="s">
        <v>38</v>
      </c>
      <c r="C24" t="s">
        <v>39</v>
      </c>
      <c r="D24" t="s">
        <v>297</v>
      </c>
      <c r="E24" s="2" t="str">
        <f>VLOOKUP(Tabela1[[#This Row],[Avaliador]],Usuários!A:I,COLUMN($H$1),0)</f>
        <v>augusto.freitas</v>
      </c>
      <c r="F24" s="2" t="str">
        <f>VLOOKUP(Tabela1[[#This Row],[Avaliador]],Usuários!$A:$I,COLUMN($I$1),0)</f>
        <v>042af!@</v>
      </c>
      <c r="G24" s="2" t="str">
        <f>VLOOKUP(Tabela1[[#This Row],[Participante]],Usuários!$A:$I,COLUMN($H$1),0)</f>
        <v>nicholas.rezende</v>
      </c>
      <c r="H24" s="2" t="str">
        <f>VLOOKUP(Tabela1[[#This Row],[Participante]],Usuários!$A:$I,COLUMN($I$1),0)</f>
        <v>467nr!@</v>
      </c>
      <c r="I24" s="1" t="s">
        <v>16</v>
      </c>
      <c r="J24" s="1" t="s">
        <v>16</v>
      </c>
      <c r="K24" t="s">
        <v>39</v>
      </c>
      <c r="L24" t="s">
        <v>307</v>
      </c>
      <c r="M24" t="str">
        <f>IF(Tabela1[[#This Row],[Tipo_aval]]="auto","Ok",IF(ISERROR(VLOOKUP(Tabela1[[#This Row],[Participante]],Atualização!$B:$B,1,FALSE)),"Ok","Atualizar"))</f>
        <v>Ok</v>
      </c>
      <c r="N2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4" t="str">
        <f>IF(IFERROR(VLOOKUP(Tabela1[[#This Row],[Novo_Avaliador]],Usuários!$A:$B,2,FALSE),"")="","",IFERROR(VLOOKUP(Tabela1[[#This Row],[Novo_Avaliador]],Usuários!$A:$B,2,FALSE),""))</f>
        <v>augusto.freitas@enind.com.br</v>
      </c>
      <c r="P24" t="str">
        <f>IF(Tabela1[[#This Row],[Novo_Avaliador]]=Tabela1[[#This Row],[Avaliador]],"Sim","Não")</f>
        <v>Sim</v>
      </c>
      <c r="Q24" t="b">
        <f>Tabela1[[#This Row],[email_repres]]=Tabela1[[#This Row],[e-mail novo avaliador]]</f>
        <v>1</v>
      </c>
    </row>
    <row r="25" spans="1:17" x14ac:dyDescent="0.25">
      <c r="A25" t="s">
        <v>340</v>
      </c>
      <c r="B25" t="s">
        <v>38</v>
      </c>
      <c r="C25" t="s">
        <v>39</v>
      </c>
      <c r="D25" t="s">
        <v>303</v>
      </c>
      <c r="E25" s="2" t="str">
        <f>VLOOKUP(Tabela1[[#This Row],[Avaliador]],Usuários!A:I,COLUMN($H$1),0)</f>
        <v>augusto.freitas</v>
      </c>
      <c r="F25" s="2" t="str">
        <f>VLOOKUP(Tabela1[[#This Row],[Avaliador]],Usuários!$A:$I,COLUMN($I$1),0)</f>
        <v>042af!@</v>
      </c>
      <c r="G25" s="2" t="str">
        <f>VLOOKUP(Tabela1[[#This Row],[Participante]],Usuários!$A:$I,COLUMN($H$1),0)</f>
        <v>marcos.junior</v>
      </c>
      <c r="H25" s="2" t="str">
        <f>VLOOKUP(Tabela1[[#This Row],[Participante]],Usuários!$A:$I,COLUMN($I$1),0)</f>
        <v>403mj!@</v>
      </c>
      <c r="I25" s="1" t="s">
        <v>16</v>
      </c>
      <c r="J25" s="1" t="s">
        <v>16</v>
      </c>
      <c r="K25" t="s">
        <v>39</v>
      </c>
      <c r="L25" t="s">
        <v>307</v>
      </c>
      <c r="M25" t="str">
        <f>IF(Tabela1[[#This Row],[Tipo_aval]]="auto","Ok",IF(ISERROR(VLOOKUP(Tabela1[[#This Row],[Participante]],Atualização!$B:$B,1,FALSE)),"Ok","Atualizar"))</f>
        <v>Ok</v>
      </c>
      <c r="N2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5" t="str">
        <f>IF(IFERROR(VLOOKUP(Tabela1[[#This Row],[Novo_Avaliador]],Usuários!$A:$B,2,FALSE),"")="","",IFERROR(VLOOKUP(Tabela1[[#This Row],[Novo_Avaliador]],Usuários!$A:$B,2,FALSE),""))</f>
        <v>augusto.freitas@enind.com.br</v>
      </c>
      <c r="P25" t="str">
        <f>IF(Tabela1[[#This Row],[Novo_Avaliador]]=Tabela1[[#This Row],[Avaliador]],"Sim","Não")</f>
        <v>Sim</v>
      </c>
      <c r="Q25" t="b">
        <f>Tabela1[[#This Row],[email_repres]]=Tabela1[[#This Row],[e-mail novo avaliador]]</f>
        <v>1</v>
      </c>
    </row>
    <row r="26" spans="1:17" x14ac:dyDescent="0.25">
      <c r="A26" t="s">
        <v>336</v>
      </c>
      <c r="B26" t="s">
        <v>38</v>
      </c>
      <c r="C26" t="s">
        <v>39</v>
      </c>
      <c r="D26" t="s">
        <v>303</v>
      </c>
      <c r="E26" s="2" t="str">
        <f>VLOOKUP(Tabela1[[#This Row],[Avaliador]],Usuários!A:I,COLUMN($H$1),0)</f>
        <v>augusto.freitas</v>
      </c>
      <c r="F26" s="2" t="str">
        <f>VLOOKUP(Tabela1[[#This Row],[Avaliador]],Usuários!$A:$I,COLUMN($I$1),0)</f>
        <v>042af!@</v>
      </c>
      <c r="G26" s="2" t="str">
        <f>VLOOKUP(Tabela1[[#This Row],[Participante]],Usuários!$A:$I,COLUMN($H$1),0)</f>
        <v>leandro.cabrini</v>
      </c>
      <c r="H26" s="2" t="str">
        <f>VLOOKUP(Tabela1[[#This Row],[Participante]],Usuários!$A:$I,COLUMN($I$1),0)</f>
        <v>723lc!@</v>
      </c>
      <c r="I26" s="1" t="s">
        <v>16</v>
      </c>
      <c r="J26" s="1" t="s">
        <v>16</v>
      </c>
      <c r="K26" t="str">
        <f>Tabela1[[#This Row],[Email]]</f>
        <v>augusto.freitas@enind.com.br</v>
      </c>
      <c r="L26" t="s">
        <v>307</v>
      </c>
      <c r="M26" t="str">
        <f>IF(Tabela1[[#This Row],[Tipo_aval]]="auto","Ok",IF(ISERROR(VLOOKUP(Tabela1[[#This Row],[Participante]],Atualização!$B:$B,1,FALSE)),"Ok","Atualizar"))</f>
        <v>Atualizar</v>
      </c>
      <c r="N2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Eloi de Freitas</v>
      </c>
      <c r="O26" t="str">
        <f>IF(IFERROR(VLOOKUP(Tabela1[[#This Row],[Novo_Avaliador]],Usuários!$A:$B,2,FALSE),"")="","",IFERROR(VLOOKUP(Tabela1[[#This Row],[Novo_Avaliador]],Usuários!$A:$B,2,FALSE),""))</f>
        <v>augusto.freitas@enind.com.br</v>
      </c>
      <c r="P26" t="str">
        <f>IF(Tabela1[[#This Row],[Novo_Avaliador]]=Tabela1[[#This Row],[Avaliador]],"Sim","Não")</f>
        <v>Sim</v>
      </c>
      <c r="Q26" t="b">
        <f>Tabela1[[#This Row],[email_repres]]=Tabela1[[#This Row],[e-mail novo avaliador]]</f>
        <v>1</v>
      </c>
    </row>
    <row r="27" spans="1:17" x14ac:dyDescent="0.25">
      <c r="A27" t="s">
        <v>323</v>
      </c>
      <c r="B27" t="s">
        <v>323</v>
      </c>
      <c r="C27" t="s">
        <v>360</v>
      </c>
      <c r="D27" t="s">
        <v>295</v>
      </c>
      <c r="E27" s="2" t="str">
        <f>VLOOKUP(Tabela1[[#This Row],[Avaliador]],Usuários!A:I,COLUMN($H$1),0)</f>
        <v>augusto.junqueira</v>
      </c>
      <c r="F27" s="2" t="str">
        <f>VLOOKUP(Tabela1[[#This Row],[Avaliador]],Usuários!$A:$I,COLUMN($I$1),0)</f>
        <v>100aj!@</v>
      </c>
      <c r="G27" s="2" t="str">
        <f>VLOOKUP(Tabela1[[#This Row],[Participante]],Usuários!$A:$I,COLUMN($H$1),0)</f>
        <v>augusto.junqueira</v>
      </c>
      <c r="H27" s="2" t="str">
        <f>VLOOKUP(Tabela1[[#This Row],[Participante]],Usuários!$A:$I,COLUMN($I$1),0)</f>
        <v>100aj!@</v>
      </c>
      <c r="I27" s="1" t="s">
        <v>6</v>
      </c>
      <c r="J27" s="1" t="s">
        <v>16</v>
      </c>
      <c r="K27" t="s">
        <v>360</v>
      </c>
      <c r="L27" t="s">
        <v>307</v>
      </c>
      <c r="M27" t="str">
        <f>IF(Tabela1[[#This Row],[Tipo_aval]]="auto","Ok",IF(ISERROR(VLOOKUP(Tabela1[[#This Row],[Participante]],Atualização!$B:$B,1,FALSE)),"Ok","Atualizar"))</f>
        <v>Ok</v>
      </c>
      <c r="N2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Augusto Cesar Nogueira Junqueira</v>
      </c>
      <c r="O27" t="str">
        <f>IF(IFERROR(VLOOKUP(Tabela1[[#This Row],[Novo_Avaliador]],Usuários!$A:$B,2,FALSE),"")="","",IFERROR(VLOOKUP(Tabela1[[#This Row],[Novo_Avaliador]],Usuários!$A:$B,2,FALSE),""))</f>
        <v>augusto.junqueira@enind.com.br</v>
      </c>
      <c r="P27" t="str">
        <f>IF(Tabela1[[#This Row],[Novo_Avaliador]]=Tabela1[[#This Row],[Avaliador]],"Sim","Não")</f>
        <v>Sim</v>
      </c>
      <c r="Q27" t="b">
        <f>Tabela1[[#This Row],[email_repres]]=Tabela1[[#This Row],[e-mail novo avaliador]]</f>
        <v>1</v>
      </c>
    </row>
    <row r="28" spans="1:17" x14ac:dyDescent="0.25">
      <c r="A28" t="s">
        <v>324</v>
      </c>
      <c r="B28" t="s">
        <v>324</v>
      </c>
      <c r="C28" t="s">
        <v>361</v>
      </c>
      <c r="D28" t="s">
        <v>295</v>
      </c>
      <c r="E28" s="2" t="str">
        <f>VLOOKUP(Tabela1[[#This Row],[Avaliador]],Usuários!A:I,COLUMN($H$1),0)</f>
        <v>brendhel.silva</v>
      </c>
      <c r="F28" s="2" t="str">
        <f>VLOOKUP(Tabela1[[#This Row],[Avaliador]],Usuários!$A:$I,COLUMN($I$1),0)</f>
        <v>338bs!@</v>
      </c>
      <c r="G28" s="2" t="str">
        <f>VLOOKUP(Tabela1[[#This Row],[Participante]],Usuários!$A:$I,COLUMN($H$1),0)</f>
        <v>brendhel.silva</v>
      </c>
      <c r="H28" s="2" t="str">
        <f>VLOOKUP(Tabela1[[#This Row],[Participante]],Usuários!$A:$I,COLUMN($I$1),0)</f>
        <v>338bs!@</v>
      </c>
      <c r="I28" s="1" t="s">
        <v>6</v>
      </c>
      <c r="J28" s="1" t="s">
        <v>16</v>
      </c>
      <c r="K28" t="s">
        <v>361</v>
      </c>
      <c r="L28" t="s">
        <v>307</v>
      </c>
      <c r="M28" t="str">
        <f>IF(Tabela1[[#This Row],[Tipo_aval]]="auto","Ok",IF(ISERROR(VLOOKUP(Tabela1[[#This Row],[Participante]],Atualização!$B:$B,1,FALSE)),"Ok","Atualizar"))</f>
        <v>Ok</v>
      </c>
      <c r="N2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Brendhel Almeida Silva</v>
      </c>
      <c r="O28" t="str">
        <f>IF(IFERROR(VLOOKUP(Tabela1[[#This Row],[Novo_Avaliador]],Usuários!$A:$B,2,FALSE),"")="","",IFERROR(VLOOKUP(Tabela1[[#This Row],[Novo_Avaliador]],Usuários!$A:$B,2,FALSE),""))</f>
        <v>brendhel.silva@enind.com.br</v>
      </c>
      <c r="P28" t="str">
        <f>IF(Tabela1[[#This Row],[Novo_Avaliador]]=Tabela1[[#This Row],[Avaliador]],"Sim","Não")</f>
        <v>Sim</v>
      </c>
      <c r="Q28" t="b">
        <f>Tabela1[[#This Row],[email_repres]]=Tabela1[[#This Row],[e-mail novo avaliador]]</f>
        <v>1</v>
      </c>
    </row>
    <row r="29" spans="1:17" x14ac:dyDescent="0.25">
      <c r="A29" s="2" t="s">
        <v>43</v>
      </c>
      <c r="B29" s="2" t="s">
        <v>43</v>
      </c>
      <c r="C29" s="2" t="s">
        <v>44</v>
      </c>
      <c r="D29" s="2" t="s">
        <v>295</v>
      </c>
      <c r="E29" s="2" t="str">
        <f>VLOOKUP(Tabela1[[#This Row],[Avaliador]],Usuários!A:I,COLUMN($H$1),0)</f>
        <v>bruno.castro</v>
      </c>
      <c r="F29" s="2" t="str">
        <f>VLOOKUP(Tabela1[[#This Row],[Avaliador]],Usuários!$A:$I,COLUMN($I$1),0)</f>
        <v>669bc!@</v>
      </c>
      <c r="G29" s="2" t="str">
        <f>VLOOKUP(Tabela1[[#This Row],[Participante]],Usuários!$A:$I,COLUMN($H$1),0)</f>
        <v>bruno.castro</v>
      </c>
      <c r="H29" s="2" t="str">
        <f>VLOOKUP(Tabela1[[#This Row],[Participante]],Usuários!$A:$I,COLUMN($I$1),0)</f>
        <v>669bc!@</v>
      </c>
      <c r="I29" s="1" t="s">
        <v>6</v>
      </c>
      <c r="J29" s="1" t="s">
        <v>16</v>
      </c>
      <c r="K29" t="s">
        <v>44</v>
      </c>
      <c r="L29" t="s">
        <v>309</v>
      </c>
      <c r="M29" t="str">
        <f>IF(Tabela1[[#This Row],[Tipo_aval]]="auto","Ok",IF(ISERROR(VLOOKUP(Tabela1[[#This Row],[Participante]],Atualização!$B:$B,1,FALSE)),"Ok","Atualizar"))</f>
        <v>Ok</v>
      </c>
      <c r="N2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Augusto Alvernaz de Castro</v>
      </c>
      <c r="O29" t="str">
        <f>IF(IFERROR(VLOOKUP(Tabela1[[#This Row],[Novo_Avaliador]],Usuários!$A:$B,2,FALSE),"")="","",IFERROR(VLOOKUP(Tabela1[[#This Row],[Novo_Avaliador]],Usuários!$A:$B,2,FALSE),""))</f>
        <v>bruno.castro@enind.com.br</v>
      </c>
      <c r="P29" t="str">
        <f>IF(Tabela1[[#This Row],[Novo_Avaliador]]=Tabela1[[#This Row],[Avaliador]],"Sim","Não")</f>
        <v>Sim</v>
      </c>
      <c r="Q29" t="b">
        <f>Tabela1[[#This Row],[email_repres]]=Tabela1[[#This Row],[e-mail novo avaliador]]</f>
        <v>1</v>
      </c>
    </row>
    <row r="30" spans="1:17" x14ac:dyDescent="0.25">
      <c r="A30" t="s">
        <v>325</v>
      </c>
      <c r="B30" t="s">
        <v>325</v>
      </c>
      <c r="C30" t="s">
        <v>362</v>
      </c>
      <c r="D30" t="s">
        <v>295</v>
      </c>
      <c r="E30" s="2" t="str">
        <f>VLOOKUP(Tabela1[[#This Row],[Avaliador]],Usuários!A:I,COLUMN($H$1),0)</f>
        <v>bruno.lustosa</v>
      </c>
      <c r="F30" s="2" t="str">
        <f>VLOOKUP(Tabela1[[#This Row],[Avaliador]],Usuários!$A:$I,COLUMN($I$1),0)</f>
        <v>182bl!@</v>
      </c>
      <c r="G30" s="2" t="str">
        <f>VLOOKUP(Tabela1[[#This Row],[Participante]],Usuários!$A:$I,COLUMN($H$1),0)</f>
        <v>bruno.lustosa</v>
      </c>
      <c r="H30" s="2" t="str">
        <f>VLOOKUP(Tabela1[[#This Row],[Participante]],Usuários!$A:$I,COLUMN($I$1),0)</f>
        <v>182bl!@</v>
      </c>
      <c r="I30" s="1" t="s">
        <v>6</v>
      </c>
      <c r="J30" s="1" t="s">
        <v>16</v>
      </c>
      <c r="K30" t="s">
        <v>362</v>
      </c>
      <c r="L30" t="s">
        <v>309</v>
      </c>
      <c r="M30" t="str">
        <f>IF(Tabela1[[#This Row],[Tipo_aval]]="auto","Ok",IF(ISERROR(VLOOKUP(Tabela1[[#This Row],[Participante]],Atualização!$B:$B,1,FALSE)),"Ok","Atualizar"))</f>
        <v>Ok</v>
      </c>
      <c r="N3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Pulino Lustosa</v>
      </c>
      <c r="O30" t="str">
        <f>IF(IFERROR(VLOOKUP(Tabela1[[#This Row],[Novo_Avaliador]],Usuários!$A:$B,2,FALSE),"")="","",IFERROR(VLOOKUP(Tabela1[[#This Row],[Novo_Avaliador]],Usuários!$A:$B,2,FALSE),""))</f>
        <v>bruno.lustosa@enind.com.br</v>
      </c>
      <c r="P30" t="str">
        <f>IF(Tabela1[[#This Row],[Novo_Avaliador]]=Tabela1[[#This Row],[Avaliador]],"Sim","Não")</f>
        <v>Sim</v>
      </c>
      <c r="Q30" t="b">
        <f>Tabela1[[#This Row],[email_repres]]=Tabela1[[#This Row],[e-mail novo avaliador]]</f>
        <v>1</v>
      </c>
    </row>
    <row r="31" spans="1:17" x14ac:dyDescent="0.25">
      <c r="A31" t="s">
        <v>322</v>
      </c>
      <c r="B31" t="s">
        <v>325</v>
      </c>
      <c r="C31" t="s">
        <v>362</v>
      </c>
      <c r="D31" t="s">
        <v>297</v>
      </c>
      <c r="E31" s="2" t="str">
        <f>VLOOKUP(Tabela1[[#This Row],[Avaliador]],Usuários!A:I,COLUMN($H$1),0)</f>
        <v>bruno.lustosa</v>
      </c>
      <c r="F31" s="2" t="str">
        <f>VLOOKUP(Tabela1[[#This Row],[Avaliador]],Usuários!$A:$I,COLUMN($I$1),0)</f>
        <v>182bl!@</v>
      </c>
      <c r="G31" s="2" t="str">
        <f>VLOOKUP(Tabela1[[#This Row],[Participante]],Usuários!$A:$I,COLUMN($H$1),0)</f>
        <v>antonio.almeida</v>
      </c>
      <c r="H31" s="2" t="str">
        <f>VLOOKUP(Tabela1[[#This Row],[Participante]],Usuários!$A:$I,COLUMN($I$1),0)</f>
        <v>517aa!@</v>
      </c>
      <c r="I31" s="1" t="s">
        <v>16</v>
      </c>
      <c r="J31" s="1" t="s">
        <v>16</v>
      </c>
      <c r="K31" t="s">
        <v>362</v>
      </c>
      <c r="L31" t="s">
        <v>307</v>
      </c>
      <c r="M31" t="str">
        <f>IF(Tabela1[[#This Row],[Tipo_aval]]="auto","Ok",IF(ISERROR(VLOOKUP(Tabela1[[#This Row],[Participante]],Atualização!$B:$B,1,FALSE)),"Ok","Atualizar"))</f>
        <v>Ok</v>
      </c>
      <c r="N3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Pulino Lustosa</v>
      </c>
      <c r="O31" t="str">
        <f>IF(IFERROR(VLOOKUP(Tabela1[[#This Row],[Novo_Avaliador]],Usuários!$A:$B,2,FALSE),"")="","",IFERROR(VLOOKUP(Tabela1[[#This Row],[Novo_Avaliador]],Usuários!$A:$B,2,FALSE),""))</f>
        <v>bruno.lustosa@enind.com.br</v>
      </c>
      <c r="P31" t="str">
        <f>IF(Tabela1[[#This Row],[Novo_Avaliador]]=Tabela1[[#This Row],[Avaliador]],"Sim","Não")</f>
        <v>Sim</v>
      </c>
      <c r="Q31" t="b">
        <f>Tabela1[[#This Row],[email_repres]]=Tabela1[[#This Row],[e-mail novo avaliador]]</f>
        <v>1</v>
      </c>
    </row>
    <row r="32" spans="1:17" x14ac:dyDescent="0.25">
      <c r="A32" t="s">
        <v>336</v>
      </c>
      <c r="B32" t="s">
        <v>325</v>
      </c>
      <c r="C32" t="s">
        <v>362</v>
      </c>
      <c r="D32" t="s">
        <v>297</v>
      </c>
      <c r="E32" s="2" t="str">
        <f>VLOOKUP(Tabela1[[#This Row],[Avaliador]],Usuários!A:I,COLUMN($H$1),0)</f>
        <v>bruno.lustosa</v>
      </c>
      <c r="F32" s="2" t="str">
        <f>VLOOKUP(Tabela1[[#This Row],[Avaliador]],Usuários!$A:$I,COLUMN($I$1),0)</f>
        <v>182bl!@</v>
      </c>
      <c r="G32" s="2" t="str">
        <f>VLOOKUP(Tabela1[[#This Row],[Participante]],Usuários!$A:$I,COLUMN($H$1),0)</f>
        <v>leandro.cabrini</v>
      </c>
      <c r="H32" s="2" t="str">
        <f>VLOOKUP(Tabela1[[#This Row],[Participante]],Usuários!$A:$I,COLUMN($I$1),0)</f>
        <v>723lc!@</v>
      </c>
      <c r="I32" s="1" t="s">
        <v>16</v>
      </c>
      <c r="J32" s="1" t="s">
        <v>16</v>
      </c>
      <c r="K32" t="str">
        <f>Tabela1[[#This Row],[Email]]</f>
        <v>bruno.lustosa@enind.com.br</v>
      </c>
      <c r="L32" t="s">
        <v>307</v>
      </c>
      <c r="M32" t="str">
        <f>IF(Tabela1[[#This Row],[Tipo_aval]]="auto","Ok",IF(ISERROR(VLOOKUP(Tabela1[[#This Row],[Participante]],Atualização!$B:$B,1,FALSE)),"Ok","Atualizar"))</f>
        <v>Atualizar</v>
      </c>
      <c r="N3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Pulino Lustosa</v>
      </c>
      <c r="O32" t="str">
        <f>IF(IFERROR(VLOOKUP(Tabela1[[#This Row],[Novo_Avaliador]],Usuários!$A:$B,2,FALSE),"")="","",IFERROR(VLOOKUP(Tabela1[[#This Row],[Novo_Avaliador]],Usuários!$A:$B,2,FALSE),""))</f>
        <v>bruno.lustosa@enind.com.br</v>
      </c>
      <c r="P32" t="str">
        <f>IF(Tabela1[[#This Row],[Novo_Avaliador]]=Tabela1[[#This Row],[Avaliador]],"Sim","Não")</f>
        <v>Sim</v>
      </c>
      <c r="Q32" t="b">
        <f>Tabela1[[#This Row],[email_repres]]=Tabela1[[#This Row],[e-mail novo avaliador]]</f>
        <v>1</v>
      </c>
    </row>
    <row r="33" spans="1:17" x14ac:dyDescent="0.25">
      <c r="A33" t="s">
        <v>342</v>
      </c>
      <c r="B33" t="s">
        <v>325</v>
      </c>
      <c r="C33" t="s">
        <v>362</v>
      </c>
      <c r="D33" t="s">
        <v>297</v>
      </c>
      <c r="E33" s="2" t="str">
        <f>VLOOKUP(Tabela1[[#This Row],[Avaliador]],Usuários!A:I,COLUMN($H$1),0)</f>
        <v>bruno.lustosa</v>
      </c>
      <c r="F33" s="2" t="str">
        <f>VLOOKUP(Tabela1[[#This Row],[Avaliador]],Usuários!$A:$I,COLUMN($I$1),0)</f>
        <v>182bl!@</v>
      </c>
      <c r="G33" s="2" t="str">
        <f>VLOOKUP(Tabela1[[#This Row],[Participante]],Usuários!$A:$I,COLUMN($H$1),0)</f>
        <v>mariana.moreira</v>
      </c>
      <c r="H33" s="2" t="str">
        <f>VLOOKUP(Tabela1[[#This Row],[Participante]],Usuários!$A:$I,COLUMN($I$1),0)</f>
        <v>808mm!@</v>
      </c>
      <c r="I33" s="1" t="s">
        <v>16</v>
      </c>
      <c r="J33" s="1" t="s">
        <v>16</v>
      </c>
      <c r="K33" t="s">
        <v>362</v>
      </c>
      <c r="L33" t="s">
        <v>307</v>
      </c>
      <c r="M33" t="str">
        <f>IF(Tabela1[[#This Row],[Tipo_aval]]="auto","Ok",IF(ISERROR(VLOOKUP(Tabela1[[#This Row],[Participante]],Atualização!$B:$B,1,FALSE)),"Ok","Atualizar"))</f>
        <v>Ok</v>
      </c>
      <c r="N3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Pulino Lustosa</v>
      </c>
      <c r="O33" t="str">
        <f>IF(IFERROR(VLOOKUP(Tabela1[[#This Row],[Novo_Avaliador]],Usuários!$A:$B,2,FALSE),"")="","",IFERROR(VLOOKUP(Tabela1[[#This Row],[Novo_Avaliador]],Usuários!$A:$B,2,FALSE),""))</f>
        <v>bruno.lustosa@enind.com.br</v>
      </c>
      <c r="P33" t="str">
        <f>IF(Tabela1[[#This Row],[Novo_Avaliador]]=Tabela1[[#This Row],[Avaliador]],"Sim","Não")</f>
        <v>Sim</v>
      </c>
      <c r="Q33" t="b">
        <f>Tabela1[[#This Row],[email_repres]]=Tabela1[[#This Row],[e-mail novo avaliador]]</f>
        <v>1</v>
      </c>
    </row>
    <row r="34" spans="1:17" x14ac:dyDescent="0.25">
      <c r="A34" t="s">
        <v>350</v>
      </c>
      <c r="B34" t="s">
        <v>325</v>
      </c>
      <c r="C34" t="s">
        <v>362</v>
      </c>
      <c r="D34" t="s">
        <v>297</v>
      </c>
      <c r="E34" s="2" t="str">
        <f>VLOOKUP(Tabela1[[#This Row],[Avaliador]],Usuários!A:I,COLUMN($H$1),0)</f>
        <v>bruno.lustosa</v>
      </c>
      <c r="F34" s="2" t="str">
        <f>VLOOKUP(Tabela1[[#This Row],[Avaliador]],Usuários!$A:$I,COLUMN($I$1),0)</f>
        <v>182bl!@</v>
      </c>
      <c r="G34" s="2" t="str">
        <f>VLOOKUP(Tabela1[[#This Row],[Participante]],Usuários!$A:$I,COLUMN($H$1),0)</f>
        <v>sergio.porto</v>
      </c>
      <c r="H34" s="2" t="str">
        <f>VLOOKUP(Tabela1[[#This Row],[Participante]],Usuários!$A:$I,COLUMN($I$1),0)</f>
        <v>334sp!@</v>
      </c>
      <c r="I34" s="1" t="s">
        <v>16</v>
      </c>
      <c r="J34" s="1" t="s">
        <v>16</v>
      </c>
      <c r="K34" t="s">
        <v>362</v>
      </c>
      <c r="L34" t="s">
        <v>307</v>
      </c>
      <c r="M34" t="str">
        <f>IF(Tabela1[[#This Row],[Tipo_aval]]="auto","Ok",IF(ISERROR(VLOOKUP(Tabela1[[#This Row],[Participante]],Atualização!$B:$B,1,FALSE)),"Ok","Atualizar"))</f>
        <v>Ok</v>
      </c>
      <c r="N3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Pulino Lustosa</v>
      </c>
      <c r="O34" t="str">
        <f>IF(IFERROR(VLOOKUP(Tabela1[[#This Row],[Novo_Avaliador]],Usuários!$A:$B,2,FALSE),"")="","",IFERROR(VLOOKUP(Tabela1[[#This Row],[Novo_Avaliador]],Usuários!$A:$B,2,FALSE),""))</f>
        <v>bruno.lustosa@enind.com.br</v>
      </c>
      <c r="P34" t="str">
        <f>IF(Tabela1[[#This Row],[Novo_Avaliador]]=Tabela1[[#This Row],[Avaliador]],"Sim","Não")</f>
        <v>Sim</v>
      </c>
      <c r="Q34" t="b">
        <f>Tabela1[[#This Row],[email_repres]]=Tabela1[[#This Row],[e-mail novo avaliador]]</f>
        <v>1</v>
      </c>
    </row>
    <row r="35" spans="1:17" x14ac:dyDescent="0.25">
      <c r="A35" t="s">
        <v>353</v>
      </c>
      <c r="B35" t="s">
        <v>325</v>
      </c>
      <c r="C35" t="s">
        <v>362</v>
      </c>
      <c r="D35" t="s">
        <v>297</v>
      </c>
      <c r="E35" s="2" t="str">
        <f>VLOOKUP(Tabela1[[#This Row],[Avaliador]],Usuários!A:I,COLUMN($H$1),0)</f>
        <v>bruno.lustosa</v>
      </c>
      <c r="F35" s="2" t="str">
        <f>VLOOKUP(Tabela1[[#This Row],[Avaliador]],Usuários!$A:$I,COLUMN($I$1),0)</f>
        <v>182bl!@</v>
      </c>
      <c r="G35" s="2" t="str">
        <f>VLOOKUP(Tabela1[[#This Row],[Participante]],Usuários!$A:$I,COLUMN($H$1),0)</f>
        <v>wagner.barreiro</v>
      </c>
      <c r="H35" s="2" t="str">
        <f>VLOOKUP(Tabela1[[#This Row],[Participante]],Usuários!$A:$I,COLUMN($I$1),0)</f>
        <v>028wb!@</v>
      </c>
      <c r="I35" s="1" t="s">
        <v>16</v>
      </c>
      <c r="J35" s="1" t="s">
        <v>16</v>
      </c>
      <c r="K35" t="s">
        <v>362</v>
      </c>
      <c r="L35" t="s">
        <v>307</v>
      </c>
      <c r="M35" t="str">
        <f>IF(Tabela1[[#This Row],[Tipo_aval]]="auto","Ok",IF(ISERROR(VLOOKUP(Tabela1[[#This Row],[Participante]],Atualização!$B:$B,1,FALSE)),"Ok","Atualizar"))</f>
        <v>Ok</v>
      </c>
      <c r="N3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Bruno Pulino Lustosa</v>
      </c>
      <c r="O35" t="str">
        <f>IF(IFERROR(VLOOKUP(Tabela1[[#This Row],[Novo_Avaliador]],Usuários!$A:$B,2,FALSE),"")="","",IFERROR(VLOOKUP(Tabela1[[#This Row],[Novo_Avaliador]],Usuários!$A:$B,2,FALSE),""))</f>
        <v>bruno.lustosa@enind.com.br</v>
      </c>
      <c r="P35" t="str">
        <f>IF(Tabela1[[#This Row],[Novo_Avaliador]]=Tabela1[[#This Row],[Avaliador]],"Sim","Não")</f>
        <v>Sim</v>
      </c>
      <c r="Q35" t="b">
        <f>Tabela1[[#This Row],[email_repres]]=Tabela1[[#This Row],[e-mail novo avaliador]]</f>
        <v>1</v>
      </c>
    </row>
    <row r="36" spans="1:17" x14ac:dyDescent="0.25">
      <c r="A36" t="s">
        <v>326</v>
      </c>
      <c r="B36" t="s">
        <v>326</v>
      </c>
      <c r="C36" t="s">
        <v>363</v>
      </c>
      <c r="D36" t="s">
        <v>295</v>
      </c>
      <c r="E36" s="2" t="str">
        <f>VLOOKUP(Tabela1[[#This Row],[Avaliador]],Usuários!A:I,COLUMN($H$1),0)</f>
        <v>cleiton.mathias</v>
      </c>
      <c r="F36" s="2" t="str">
        <f>VLOOKUP(Tabela1[[#This Row],[Avaliador]],Usuários!$A:$I,COLUMN($I$1),0)</f>
        <v>001cm!@</v>
      </c>
      <c r="G36" s="2" t="str">
        <f>VLOOKUP(Tabela1[[#This Row],[Participante]],Usuários!$A:$I,COLUMN($H$1),0)</f>
        <v>cleiton.mathias</v>
      </c>
      <c r="H36" s="2" t="str">
        <f>VLOOKUP(Tabela1[[#This Row],[Participante]],Usuários!$A:$I,COLUMN($I$1),0)</f>
        <v>001cm!@</v>
      </c>
      <c r="I36" s="1" t="s">
        <v>6</v>
      </c>
      <c r="J36" s="1" t="s">
        <v>16</v>
      </c>
      <c r="K36" t="s">
        <v>363</v>
      </c>
      <c r="L36" t="s">
        <v>307</v>
      </c>
      <c r="M36" t="str">
        <f>IF(Tabela1[[#This Row],[Tipo_aval]]="auto","Ok",IF(ISERROR(VLOOKUP(Tabela1[[#This Row],[Participante]],Atualização!$B:$B,1,FALSE)),"Ok","Atualizar"))</f>
        <v>Ok</v>
      </c>
      <c r="N3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Cleiton Inacio Mathias</v>
      </c>
      <c r="O36" t="str">
        <f>IF(IFERROR(VLOOKUP(Tabela1[[#This Row],[Novo_Avaliador]],Usuários!$A:$B,2,FALSE),"")="","",IFERROR(VLOOKUP(Tabela1[[#This Row],[Novo_Avaliador]],Usuários!$A:$B,2,FALSE),""))</f>
        <v>cleiton.mathias@enind.com.br</v>
      </c>
      <c r="P36" t="str">
        <f>IF(Tabela1[[#This Row],[Novo_Avaliador]]=Tabela1[[#This Row],[Avaliador]],"Sim","Não")</f>
        <v>Sim</v>
      </c>
      <c r="Q36" t="b">
        <f>Tabela1[[#This Row],[email_repres]]=Tabela1[[#This Row],[e-mail novo avaliador]]</f>
        <v>1</v>
      </c>
    </row>
    <row r="37" spans="1:17" x14ac:dyDescent="0.25">
      <c r="A37" s="2" t="s">
        <v>48</v>
      </c>
      <c r="B37" s="2" t="s">
        <v>48</v>
      </c>
      <c r="C37" s="2" t="s">
        <v>49</v>
      </c>
      <c r="D37" s="2" t="s">
        <v>295</v>
      </c>
      <c r="E37" s="2" t="str">
        <f>VLOOKUP(Tabela1[[#This Row],[Avaliador]],Usuários!A:I,COLUMN($H$1),0)</f>
        <v>crislane.gama</v>
      </c>
      <c r="F37" s="2" t="str">
        <f>VLOOKUP(Tabela1[[#This Row],[Avaliador]],Usuários!$A:$I,COLUMN($I$1),0)</f>
        <v>222cg!@</v>
      </c>
      <c r="G37" s="2" t="str">
        <f>VLOOKUP(Tabela1[[#This Row],[Participante]],Usuários!$A:$I,COLUMN($H$1),0)</f>
        <v>crislane.gama</v>
      </c>
      <c r="H37" s="2" t="str">
        <f>VLOOKUP(Tabela1[[#This Row],[Participante]],Usuários!$A:$I,COLUMN($I$1),0)</f>
        <v>222cg!@</v>
      </c>
      <c r="I37" s="1" t="s">
        <v>6</v>
      </c>
      <c r="J37" s="1" t="s">
        <v>16</v>
      </c>
      <c r="K37" t="s">
        <v>49</v>
      </c>
      <c r="L37" t="s">
        <v>307</v>
      </c>
      <c r="M37" t="str">
        <f>IF(Tabela1[[#This Row],[Tipo_aval]]="auto","Ok",IF(ISERROR(VLOOKUP(Tabela1[[#This Row],[Participante]],Atualização!$B:$B,1,FALSE)),"Ok","Atualizar"))</f>
        <v>Ok</v>
      </c>
      <c r="N3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Crislane Santos Gama</v>
      </c>
      <c r="O37" t="str">
        <f>IF(IFERROR(VLOOKUP(Tabela1[[#This Row],[Novo_Avaliador]],Usuários!$A:$B,2,FALSE),"")="","",IFERROR(VLOOKUP(Tabela1[[#This Row],[Novo_Avaliador]],Usuários!$A:$B,2,FALSE),""))</f>
        <v>crislane.gama@enind.com.br</v>
      </c>
      <c r="P37" t="str">
        <f>IF(Tabela1[[#This Row],[Novo_Avaliador]]=Tabela1[[#This Row],[Avaliador]],"Sim","Não")</f>
        <v>Sim</v>
      </c>
      <c r="Q37" t="b">
        <f>Tabela1[[#This Row],[email_repres]]=Tabela1[[#This Row],[e-mail novo avaliador]]</f>
        <v>1</v>
      </c>
    </row>
    <row r="38" spans="1:17" x14ac:dyDescent="0.25">
      <c r="A38" t="s">
        <v>327</v>
      </c>
      <c r="B38" t="s">
        <v>327</v>
      </c>
      <c r="C38" t="s">
        <v>364</v>
      </c>
      <c r="D38" t="s">
        <v>295</v>
      </c>
      <c r="E38" s="2" t="str">
        <f>VLOOKUP(Tabela1[[#This Row],[Avaliador]],Usuários!A:I,COLUMN($H$1),0)</f>
        <v>daniel.casari</v>
      </c>
      <c r="F38" s="2" t="str">
        <f>VLOOKUP(Tabela1[[#This Row],[Avaliador]],Usuários!$A:$I,COLUMN($I$1),0)</f>
        <v>379dc!@</v>
      </c>
      <c r="G38" s="2" t="str">
        <f>VLOOKUP(Tabela1[[#This Row],[Participante]],Usuários!$A:$I,COLUMN($H$1),0)</f>
        <v>daniel.casari</v>
      </c>
      <c r="H38" s="2" t="str">
        <f>VLOOKUP(Tabela1[[#This Row],[Participante]],Usuários!$A:$I,COLUMN($I$1),0)</f>
        <v>379dc!@</v>
      </c>
      <c r="I38" s="1" t="s">
        <v>6</v>
      </c>
      <c r="J38" s="1" t="s">
        <v>16</v>
      </c>
      <c r="K38" t="s">
        <v>364</v>
      </c>
      <c r="L38" t="s">
        <v>309</v>
      </c>
      <c r="M38" t="str">
        <f>IF(Tabela1[[#This Row],[Tipo_aval]]="auto","Ok",IF(ISERROR(VLOOKUP(Tabela1[[#This Row],[Participante]],Atualização!$B:$B,1,FALSE)),"Ok","Atualizar"))</f>
        <v>Ok</v>
      </c>
      <c r="N3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Daniel Casari Carlos</v>
      </c>
      <c r="O38" t="str">
        <f>IF(IFERROR(VLOOKUP(Tabela1[[#This Row],[Novo_Avaliador]],Usuários!$A:$B,2,FALSE),"")="","",IFERROR(VLOOKUP(Tabela1[[#This Row],[Novo_Avaliador]],Usuários!$A:$B,2,FALSE),""))</f>
        <v>daniel.casari@enind.com.br</v>
      </c>
      <c r="P38" t="str">
        <f>IF(Tabela1[[#This Row],[Novo_Avaliador]]=Tabela1[[#This Row],[Avaliador]],"Sim","Não")</f>
        <v>Sim</v>
      </c>
      <c r="Q38" t="b">
        <f>Tabela1[[#This Row],[email_repres]]=Tabela1[[#This Row],[e-mail novo avaliador]]</f>
        <v>1</v>
      </c>
    </row>
    <row r="39" spans="1:17" x14ac:dyDescent="0.25">
      <c r="A39" t="s">
        <v>340</v>
      </c>
      <c r="B39" t="s">
        <v>327</v>
      </c>
      <c r="C39" t="s">
        <v>364</v>
      </c>
      <c r="D39" t="s">
        <v>297</v>
      </c>
      <c r="E39" s="2" t="str">
        <f>VLOOKUP(Tabela1[[#This Row],[Avaliador]],Usuários!A:I,COLUMN($H$1),0)</f>
        <v>daniel.casari</v>
      </c>
      <c r="F39" s="2" t="str">
        <f>VLOOKUP(Tabela1[[#This Row],[Avaliador]],Usuários!$A:$I,COLUMN($I$1),0)</f>
        <v>379dc!@</v>
      </c>
      <c r="G39" s="2" t="str">
        <f>VLOOKUP(Tabela1[[#This Row],[Participante]],Usuários!$A:$I,COLUMN($H$1),0)</f>
        <v>marcos.junior</v>
      </c>
      <c r="H39" s="2" t="str">
        <f>VLOOKUP(Tabela1[[#This Row],[Participante]],Usuários!$A:$I,COLUMN($I$1),0)</f>
        <v>403mj!@</v>
      </c>
      <c r="I39" s="1" t="s">
        <v>16</v>
      </c>
      <c r="J39" s="1" t="s">
        <v>16</v>
      </c>
      <c r="K39" t="s">
        <v>364</v>
      </c>
      <c r="L39" t="s">
        <v>307</v>
      </c>
      <c r="M39" t="str">
        <f>IF(Tabela1[[#This Row],[Tipo_aval]]="auto","Ok",IF(ISERROR(VLOOKUP(Tabela1[[#This Row],[Participante]],Atualização!$B:$B,1,FALSE)),"Ok","Atualizar"))</f>
        <v>Ok</v>
      </c>
      <c r="N3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Daniel Casari Carlos</v>
      </c>
      <c r="O39" t="str">
        <f>IF(IFERROR(VLOOKUP(Tabela1[[#This Row],[Novo_Avaliador]],Usuários!$A:$B,2,FALSE),"")="","",IFERROR(VLOOKUP(Tabela1[[#This Row],[Novo_Avaliador]],Usuários!$A:$B,2,FALSE),""))</f>
        <v>daniel.casari@enind.com.br</v>
      </c>
      <c r="P39" t="str">
        <f>IF(Tabela1[[#This Row],[Novo_Avaliador]]=Tabela1[[#This Row],[Avaliador]],"Sim","Não")</f>
        <v>Sim</v>
      </c>
      <c r="Q39" t="b">
        <f>Tabela1[[#This Row],[email_repres]]=Tabela1[[#This Row],[e-mail novo avaliador]]</f>
        <v>1</v>
      </c>
    </row>
    <row r="40" spans="1:17" x14ac:dyDescent="0.25">
      <c r="A40" t="s">
        <v>337</v>
      </c>
      <c r="B40" t="s">
        <v>327</v>
      </c>
      <c r="C40" t="s">
        <v>364</v>
      </c>
      <c r="D40" t="s">
        <v>303</v>
      </c>
      <c r="E40" s="2" t="str">
        <f>VLOOKUP(Tabela1[[#This Row],[Avaliador]],Usuários!A:I,COLUMN($H$1),0)</f>
        <v>daniel.casari</v>
      </c>
      <c r="F40" s="2" t="str">
        <f>VLOOKUP(Tabela1[[#This Row],[Avaliador]],Usuários!$A:$I,COLUMN($I$1),0)</f>
        <v>379dc!@</v>
      </c>
      <c r="G40" s="2" t="str">
        <f>VLOOKUP(Tabela1[[#This Row],[Participante]],Usuários!$A:$I,COLUMN($H$1),0)</f>
        <v>luan.carvalho</v>
      </c>
      <c r="H40" s="2" t="str">
        <f>VLOOKUP(Tabela1[[#This Row],[Participante]],Usuários!$A:$I,COLUMN($I$1),0)</f>
        <v>889lc!@</v>
      </c>
      <c r="I40" s="1" t="s">
        <v>16</v>
      </c>
      <c r="J40" s="1" t="s">
        <v>16</v>
      </c>
      <c r="K40" t="s">
        <v>364</v>
      </c>
      <c r="L40" t="s">
        <v>307</v>
      </c>
      <c r="M40" t="str">
        <f>IF(Tabela1[[#This Row],[Tipo_aval]]="auto","Ok",IF(ISERROR(VLOOKUP(Tabela1[[#This Row],[Participante]],Atualização!$B:$B,1,FALSE)),"Ok","Atualizar"))</f>
        <v>Ok</v>
      </c>
      <c r="N4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Daniel Casari Carlos</v>
      </c>
      <c r="O40" t="str">
        <f>IF(IFERROR(VLOOKUP(Tabela1[[#This Row],[Novo_Avaliador]],Usuários!$A:$B,2,FALSE),"")="","",IFERROR(VLOOKUP(Tabela1[[#This Row],[Novo_Avaliador]],Usuários!$A:$B,2,FALSE),""))</f>
        <v>daniel.casari@enind.com.br</v>
      </c>
      <c r="P40" t="str">
        <f>IF(Tabela1[[#This Row],[Novo_Avaliador]]=Tabela1[[#This Row],[Avaliador]],"Sim","Não")</f>
        <v>Sim</v>
      </c>
      <c r="Q40" t="b">
        <f>Tabela1[[#This Row],[email_repres]]=Tabela1[[#This Row],[e-mail novo avaliador]]</f>
        <v>1</v>
      </c>
    </row>
    <row r="41" spans="1:17" x14ac:dyDescent="0.25">
      <c r="A41" t="s">
        <v>346</v>
      </c>
      <c r="B41" t="s">
        <v>327</v>
      </c>
      <c r="C41" t="s">
        <v>364</v>
      </c>
      <c r="D41" t="s">
        <v>303</v>
      </c>
      <c r="E41" s="2" t="str">
        <f>VLOOKUP(Tabela1[[#This Row],[Avaliador]],Usuários!A:I,COLUMN($H$1),0)</f>
        <v>daniel.casari</v>
      </c>
      <c r="F41" s="2" t="str">
        <f>VLOOKUP(Tabela1[[#This Row],[Avaliador]],Usuários!$A:$I,COLUMN($I$1),0)</f>
        <v>379dc!@</v>
      </c>
      <c r="G41" s="2" t="str">
        <f>VLOOKUP(Tabela1[[#This Row],[Participante]],Usuários!$A:$I,COLUMN($H$1),0)</f>
        <v>nicholas.rezende</v>
      </c>
      <c r="H41" s="2" t="str">
        <f>VLOOKUP(Tabela1[[#This Row],[Participante]],Usuários!$A:$I,COLUMN($I$1),0)</f>
        <v>467nr!@</v>
      </c>
      <c r="I41" s="1" t="s">
        <v>16</v>
      </c>
      <c r="J41" s="1" t="s">
        <v>16</v>
      </c>
      <c r="K41" t="s">
        <v>364</v>
      </c>
      <c r="L41" t="s">
        <v>307</v>
      </c>
      <c r="M41" t="str">
        <f>IF(Tabela1[[#This Row],[Tipo_aval]]="auto","Ok",IF(ISERROR(VLOOKUP(Tabela1[[#This Row],[Participante]],Atualização!$B:$B,1,FALSE)),"Ok","Atualizar"))</f>
        <v>Ok</v>
      </c>
      <c r="N4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Daniel Casari Carlos</v>
      </c>
      <c r="O41" t="str">
        <f>IF(IFERROR(VLOOKUP(Tabela1[[#This Row],[Novo_Avaliador]],Usuários!$A:$B,2,FALSE),"")="","",IFERROR(VLOOKUP(Tabela1[[#This Row],[Novo_Avaliador]],Usuários!$A:$B,2,FALSE),""))</f>
        <v>daniel.casari@enind.com.br</v>
      </c>
      <c r="P41" t="str">
        <f>IF(Tabela1[[#This Row],[Novo_Avaliador]]=Tabela1[[#This Row],[Avaliador]],"Sim","Não")</f>
        <v>Sim</v>
      </c>
      <c r="Q41" t="b">
        <f>Tabela1[[#This Row],[email_repres]]=Tabela1[[#This Row],[e-mail novo avaliador]]</f>
        <v>1</v>
      </c>
    </row>
    <row r="42" spans="1:17" x14ac:dyDescent="0.25">
      <c r="A42" s="2" t="s">
        <v>54</v>
      </c>
      <c r="B42" s="2" t="s">
        <v>54</v>
      </c>
      <c r="C42" s="2" t="s">
        <v>55</v>
      </c>
      <c r="D42" s="2" t="s">
        <v>295</v>
      </c>
      <c r="E42" s="2" t="str">
        <f>VLOOKUP(Tabela1[[#This Row],[Avaliador]],Usuários!A:I,COLUMN($H$1),0)</f>
        <v>dayvis.coelho</v>
      </c>
      <c r="F42" s="2" t="str">
        <f>VLOOKUP(Tabela1[[#This Row],[Avaliador]],Usuários!$A:$I,COLUMN($I$1),0)</f>
        <v>248dc!@</v>
      </c>
      <c r="G42" s="2" t="str">
        <f>VLOOKUP(Tabela1[[#This Row],[Participante]],Usuários!$A:$I,COLUMN($H$1),0)</f>
        <v>dayvis.coelho</v>
      </c>
      <c r="H42" s="2" t="str">
        <f>VLOOKUP(Tabela1[[#This Row],[Participante]],Usuários!$A:$I,COLUMN($I$1),0)</f>
        <v>248dc!@</v>
      </c>
      <c r="I42" s="1" t="s">
        <v>6</v>
      </c>
      <c r="J42" s="1" t="s">
        <v>16</v>
      </c>
      <c r="K42" t="s">
        <v>55</v>
      </c>
      <c r="L42" t="s">
        <v>309</v>
      </c>
      <c r="M42" t="str">
        <f>IF(Tabela1[[#This Row],[Tipo_aval]]="auto","Ok",IF(ISERROR(VLOOKUP(Tabela1[[#This Row],[Participante]],Atualização!$B:$B,1,FALSE)),"Ok","Atualizar"))</f>
        <v>Ok</v>
      </c>
      <c r="N4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Dayvis Jones Coelho</v>
      </c>
      <c r="O42" t="str">
        <f>IF(IFERROR(VLOOKUP(Tabela1[[#This Row],[Novo_Avaliador]],Usuários!$A:$B,2,FALSE),"")="","",IFERROR(VLOOKUP(Tabela1[[#This Row],[Novo_Avaliador]],Usuários!$A:$B,2,FALSE),""))</f>
        <v>dayvis.coelho@enind.com.br</v>
      </c>
      <c r="P42" t="str">
        <f>IF(Tabela1[[#This Row],[Novo_Avaliador]]=Tabela1[[#This Row],[Avaliador]],"Sim","Não")</f>
        <v>Sim</v>
      </c>
      <c r="Q42" t="b">
        <f>Tabela1[[#This Row],[email_repres]]=Tabela1[[#This Row],[e-mail novo avaliador]]</f>
        <v>1</v>
      </c>
    </row>
    <row r="43" spans="1:17" x14ac:dyDescent="0.25">
      <c r="A43" s="2" t="s">
        <v>59</v>
      </c>
      <c r="B43" s="2" t="s">
        <v>59</v>
      </c>
      <c r="C43" s="2" t="s">
        <v>60</v>
      </c>
      <c r="D43" s="2" t="s">
        <v>295</v>
      </c>
      <c r="E43" s="2" t="str">
        <f>VLOOKUP(Tabela1[[#This Row],[Avaliador]],Usuários!A:I,COLUMN($H$1),0)</f>
        <v>dayvson.silva</v>
      </c>
      <c r="F43" s="2" t="str">
        <f>VLOOKUP(Tabela1[[#This Row],[Avaliador]],Usuários!$A:$I,COLUMN($I$1),0)</f>
        <v>517ds!@</v>
      </c>
      <c r="G43" s="2" t="str">
        <f>VLOOKUP(Tabela1[[#This Row],[Participante]],Usuários!$A:$I,COLUMN($H$1),0)</f>
        <v>dayvson.silva</v>
      </c>
      <c r="H43" s="2" t="str">
        <f>VLOOKUP(Tabela1[[#This Row],[Participante]],Usuários!$A:$I,COLUMN($I$1),0)</f>
        <v>517ds!@</v>
      </c>
      <c r="I43" s="1" t="s">
        <v>6</v>
      </c>
      <c r="J43" s="1" t="s">
        <v>16</v>
      </c>
      <c r="K43" t="s">
        <v>60</v>
      </c>
      <c r="L43" t="s">
        <v>309</v>
      </c>
      <c r="M43" t="str">
        <f>IF(Tabela1[[#This Row],[Tipo_aval]]="auto","Ok",IF(ISERROR(VLOOKUP(Tabela1[[#This Row],[Participante]],Atualização!$B:$B,1,FALSE)),"Ok","Atualizar"))</f>
        <v>Ok</v>
      </c>
      <c r="N4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Dayvson Faber Alcantara Silva</v>
      </c>
      <c r="O43" t="str">
        <f>IF(IFERROR(VLOOKUP(Tabela1[[#This Row],[Novo_Avaliador]],Usuários!$A:$B,2,FALSE),"")="","",IFERROR(VLOOKUP(Tabela1[[#This Row],[Novo_Avaliador]],Usuários!$A:$B,2,FALSE),""))</f>
        <v>dayvson.silva@enind.com.br</v>
      </c>
      <c r="P43" t="str">
        <f>IF(Tabela1[[#This Row],[Novo_Avaliador]]=Tabela1[[#This Row],[Avaliador]],"Sim","Não")</f>
        <v>Sim</v>
      </c>
      <c r="Q43" t="b">
        <f>Tabela1[[#This Row],[email_repres]]=Tabela1[[#This Row],[e-mail novo avaliador]]</f>
        <v>1</v>
      </c>
    </row>
    <row r="44" spans="1:17" x14ac:dyDescent="0.25">
      <c r="A44" s="2" t="s">
        <v>63</v>
      </c>
      <c r="B44" s="2" t="s">
        <v>59</v>
      </c>
      <c r="C44" s="2" t="s">
        <v>60</v>
      </c>
      <c r="D44" s="2" t="s">
        <v>297</v>
      </c>
      <c r="E44" s="2" t="str">
        <f>VLOOKUP(Tabela1[[#This Row],[Avaliador]],Usuários!A:I,COLUMN($H$1),0)</f>
        <v>dayvson.silva</v>
      </c>
      <c r="F44" s="2" t="str">
        <f>VLOOKUP(Tabela1[[#This Row],[Avaliador]],Usuários!$A:$I,COLUMN($I$1),0)</f>
        <v>517ds!@</v>
      </c>
      <c r="G44" s="2" t="str">
        <f>VLOOKUP(Tabela1[[#This Row],[Participante]],Usuários!$A:$I,COLUMN($H$1),0)</f>
        <v>hillary.karen</v>
      </c>
      <c r="H44" s="2" t="str">
        <f>VLOOKUP(Tabela1[[#This Row],[Participante]],Usuários!$A:$I,COLUMN($I$1),0)</f>
        <v>841hk!@</v>
      </c>
      <c r="I44" s="1" t="s">
        <v>16</v>
      </c>
      <c r="J44" s="1" t="s">
        <v>16</v>
      </c>
      <c r="K44" t="s">
        <v>60</v>
      </c>
      <c r="L44" t="s">
        <v>309</v>
      </c>
      <c r="M44" t="str">
        <f>IF(Tabela1[[#This Row],[Tipo_aval]]="auto","Ok",IF(ISERROR(VLOOKUP(Tabela1[[#This Row],[Participante]],Atualização!$B:$B,1,FALSE)),"Ok","Atualizar"))</f>
        <v>Ok</v>
      </c>
      <c r="N4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Dayvson Faber Alcantara Silva</v>
      </c>
      <c r="O44" t="str">
        <f>IF(IFERROR(VLOOKUP(Tabela1[[#This Row],[Novo_Avaliador]],Usuários!$A:$B,2,FALSE),"")="","",IFERROR(VLOOKUP(Tabela1[[#This Row],[Novo_Avaliador]],Usuários!$A:$B,2,FALSE),""))</f>
        <v>dayvson.silva@enind.com.br</v>
      </c>
      <c r="P44" t="str">
        <f>IF(Tabela1[[#This Row],[Novo_Avaliador]]=Tabela1[[#This Row],[Avaliador]],"Sim","Não")</f>
        <v>Sim</v>
      </c>
      <c r="Q44" t="b">
        <f>Tabela1[[#This Row],[email_repres]]=Tabela1[[#This Row],[e-mail novo avaliador]]</f>
        <v>1</v>
      </c>
    </row>
    <row r="45" spans="1:17" x14ac:dyDescent="0.25">
      <c r="A45" s="2" t="s">
        <v>68</v>
      </c>
      <c r="B45" s="2" t="s">
        <v>59</v>
      </c>
      <c r="C45" s="2" t="s">
        <v>60</v>
      </c>
      <c r="D45" s="2" t="s">
        <v>297</v>
      </c>
      <c r="E45" s="2" t="str">
        <f>VLOOKUP(Tabela1[[#This Row],[Avaliador]],Usuários!A:I,COLUMN($H$1),0)</f>
        <v>dayvson.silva</v>
      </c>
      <c r="F45" s="2" t="str">
        <f>VLOOKUP(Tabela1[[#This Row],[Avaliador]],Usuários!$A:$I,COLUMN($I$1),0)</f>
        <v>517ds!@</v>
      </c>
      <c r="G45" s="2" t="str">
        <f>VLOOKUP(Tabela1[[#This Row],[Participante]],Usuários!$A:$I,COLUMN($H$1),0)</f>
        <v>luana.silva</v>
      </c>
      <c r="H45" s="2" t="str">
        <f>VLOOKUP(Tabela1[[#This Row],[Participante]],Usuários!$A:$I,COLUMN($I$1),0)</f>
        <v>292ls!@</v>
      </c>
      <c r="I45" s="1" t="s">
        <v>16</v>
      </c>
      <c r="J45" s="1" t="s">
        <v>16</v>
      </c>
      <c r="K45" t="s">
        <v>60</v>
      </c>
      <c r="L45" t="s">
        <v>307</v>
      </c>
      <c r="M45" t="str">
        <f>IF(Tabela1[[#This Row],[Tipo_aval]]="auto","Ok",IF(ISERROR(VLOOKUP(Tabela1[[#This Row],[Participante]],Atualização!$B:$B,1,FALSE)),"Ok","Atualizar"))</f>
        <v>Ok</v>
      </c>
      <c r="N4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Dayvson Faber Alcantara Silva</v>
      </c>
      <c r="O45" t="str">
        <f>IF(IFERROR(VLOOKUP(Tabela1[[#This Row],[Novo_Avaliador]],Usuários!$A:$B,2,FALSE),"")="","",IFERROR(VLOOKUP(Tabela1[[#This Row],[Novo_Avaliador]],Usuários!$A:$B,2,FALSE),""))</f>
        <v>dayvson.silva@enind.com.br</v>
      </c>
      <c r="P45" t="str">
        <f>IF(Tabela1[[#This Row],[Novo_Avaliador]]=Tabela1[[#This Row],[Avaliador]],"Sim","Não")</f>
        <v>Sim</v>
      </c>
      <c r="Q45" t="b">
        <f>Tabela1[[#This Row],[email_repres]]=Tabela1[[#This Row],[e-mail novo avaliador]]</f>
        <v>1</v>
      </c>
    </row>
    <row r="46" spans="1:17" x14ac:dyDescent="0.25">
      <c r="A46" t="s">
        <v>102</v>
      </c>
      <c r="B46" t="s">
        <v>59</v>
      </c>
      <c r="C46" t="s">
        <v>60</v>
      </c>
      <c r="D46" t="s">
        <v>303</v>
      </c>
      <c r="E46" s="2" t="str">
        <f>VLOOKUP(Tabela1[[#This Row],[Avaliador]],Usuários!A:I,COLUMN($H$1),0)</f>
        <v>dayvson.silva</v>
      </c>
      <c r="F46" s="2" t="str">
        <f>VLOOKUP(Tabela1[[#This Row],[Avaliador]],Usuários!$A:$I,COLUMN($I$1),0)</f>
        <v>517ds!@</v>
      </c>
      <c r="G46" s="2" t="str">
        <f>VLOOKUP(Tabela1[[#This Row],[Participante]],Usuários!$A:$I,COLUMN($H$1),0)</f>
        <v>paulo.costa</v>
      </c>
      <c r="H46" s="2" t="str">
        <f>VLOOKUP(Tabela1[[#This Row],[Participante]],Usuários!$A:$I,COLUMN($I$1),0)</f>
        <v>745pc!@</v>
      </c>
      <c r="I46" s="1" t="s">
        <v>16</v>
      </c>
      <c r="J46" s="1" t="s">
        <v>16</v>
      </c>
      <c r="K46" t="s">
        <v>60</v>
      </c>
      <c r="L46" t="s">
        <v>308</v>
      </c>
      <c r="M46" t="str">
        <f>IF(Tabela1[[#This Row],[Tipo_aval]]="auto","Ok",IF(ISERROR(VLOOKUP(Tabela1[[#This Row],[Participante]],Atualização!$B:$B,1,FALSE)),"Ok","Atualizar"))</f>
        <v>Ok</v>
      </c>
      <c r="N4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Dayvson Faber Alcantara Silva</v>
      </c>
      <c r="O46" t="str">
        <f>IF(IFERROR(VLOOKUP(Tabela1[[#This Row],[Novo_Avaliador]],Usuários!$A:$B,2,FALSE),"")="","",IFERROR(VLOOKUP(Tabela1[[#This Row],[Novo_Avaliador]],Usuários!$A:$B,2,FALSE),""))</f>
        <v>dayvson.silva@enind.com.br</v>
      </c>
      <c r="P46" t="str">
        <f>IF(Tabela1[[#This Row],[Novo_Avaliador]]=Tabela1[[#This Row],[Avaliador]],"Sim","Não")</f>
        <v>Sim</v>
      </c>
      <c r="Q46" t="b">
        <f>Tabela1[[#This Row],[email_repres]]=Tabela1[[#This Row],[e-mail novo avaliador]]</f>
        <v>1</v>
      </c>
    </row>
    <row r="47" spans="1:17" x14ac:dyDescent="0.25">
      <c r="A47" s="2" t="s">
        <v>25</v>
      </c>
      <c r="B47" s="2" t="s">
        <v>59</v>
      </c>
      <c r="C47" s="2" t="s">
        <v>60</v>
      </c>
      <c r="D47" s="2" t="s">
        <v>297</v>
      </c>
      <c r="E47" s="2" t="str">
        <f>VLOOKUP(Tabela1[[#This Row],[Avaliador]],Usuários!A:I,COLUMN($H$1),0)</f>
        <v>dayvson.silva</v>
      </c>
      <c r="F47" s="2" t="str">
        <f>VLOOKUP(Tabela1[[#This Row],[Avaliador]],Usuários!$A:$I,COLUMN($I$1),0)</f>
        <v>517ds!@</v>
      </c>
      <c r="G47" s="2" t="str">
        <f>VLOOKUP(Tabela1[[#This Row],[Participante]],Usuários!$A:$I,COLUMN($H$1),0)</f>
        <v>deijanes.costa</v>
      </c>
      <c r="H47" s="2" t="str">
        <f>VLOOKUP(Tabela1[[#This Row],[Participante]],Usuários!$A:$I,COLUMN($I$1),0)</f>
        <v>530dc!@</v>
      </c>
      <c r="I47" s="1" t="s">
        <v>6</v>
      </c>
      <c r="J47" s="1" t="s">
        <v>16</v>
      </c>
      <c r="K47" t="str">
        <f>Tabela1[[#This Row],[Email]]</f>
        <v>dayvson.silva@enind.com.br</v>
      </c>
      <c r="L47" t="s">
        <v>308</v>
      </c>
      <c r="M47" t="str">
        <f>IF(Tabela1[[#This Row],[Tipo_aval]]="auto","Ok",IF(ISERROR(VLOOKUP(Tabela1[[#This Row],[Participante]],Atualização!$B:$B,1,FALSE)),"Ok","Atualizar"))</f>
        <v>Atualizar</v>
      </c>
      <c r="N4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Dayvson Faber Alcantara Silva</v>
      </c>
      <c r="O47" t="str">
        <f>IF(IFERROR(VLOOKUP(Tabela1[[#This Row],[Novo_Avaliador]],Usuários!$A:$B,2,FALSE),"")="","",IFERROR(VLOOKUP(Tabela1[[#This Row],[Novo_Avaliador]],Usuários!$A:$B,2,FALSE),""))</f>
        <v>dayvson.silva@enind.com.br</v>
      </c>
      <c r="P47" t="str">
        <f>IF(Tabela1[[#This Row],[Novo_Avaliador]]=Tabela1[[#This Row],[Avaliador]],"Sim","Não")</f>
        <v>Sim</v>
      </c>
      <c r="Q47" t="b">
        <f>Tabela1[[#This Row],[email_repres]]=Tabela1[[#This Row],[e-mail novo avaliador]]</f>
        <v>1</v>
      </c>
    </row>
    <row r="48" spans="1:17" x14ac:dyDescent="0.25">
      <c r="A48" t="s">
        <v>65</v>
      </c>
      <c r="B48" t="s">
        <v>59</v>
      </c>
      <c r="C48" t="s">
        <v>60</v>
      </c>
      <c r="D48" t="s">
        <v>303</v>
      </c>
      <c r="E48" s="2" t="str">
        <f>VLOOKUP(Tabela1[[#This Row],[Avaliador]],Usuários!A:I,COLUMN($H$1),0)</f>
        <v>dayvson.silva</v>
      </c>
      <c r="F48" s="2" t="str">
        <f>VLOOKUP(Tabela1[[#This Row],[Avaliador]],Usuários!$A:$I,COLUMN($I$1),0)</f>
        <v>517ds!@</v>
      </c>
      <c r="G48" s="2" t="str">
        <f>VLOOKUP(Tabela1[[#This Row],[Participante]],Usuários!$A:$I,COLUMN($H$1),0)</f>
        <v>juliana.santos</v>
      </c>
      <c r="H48" s="2" t="str">
        <f>VLOOKUP(Tabela1[[#This Row],[Participante]],Usuários!$A:$I,COLUMN($I$1),0)</f>
        <v>780js!@</v>
      </c>
      <c r="I48" s="1" t="s">
        <v>16</v>
      </c>
      <c r="J48" s="1" t="s">
        <v>16</v>
      </c>
      <c r="K48" t="str">
        <f>Tabela1[[#This Row],[Email]]</f>
        <v>dayvson.silva@enind.com.br</v>
      </c>
      <c r="L48" t="s">
        <v>307</v>
      </c>
      <c r="M48" t="str">
        <f>IF(Tabela1[[#This Row],[Tipo_aval]]="auto","Ok",IF(ISERROR(VLOOKUP(Tabela1[[#This Row],[Participante]],Atualização!$B:$B,1,FALSE)),"Ok","Atualizar"))</f>
        <v>Atualizar</v>
      </c>
      <c r="N4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Dayvson Faber Alcantara Silva</v>
      </c>
      <c r="O48" t="str">
        <f>IF(IFERROR(VLOOKUP(Tabela1[[#This Row],[Novo_Avaliador]],Usuários!$A:$B,2,FALSE),"")="","",IFERROR(VLOOKUP(Tabela1[[#This Row],[Novo_Avaliador]],Usuários!$A:$B,2,FALSE),""))</f>
        <v>dayvson.silva@enind.com.br</v>
      </c>
      <c r="P48" t="str">
        <f>IF(Tabela1[[#This Row],[Novo_Avaliador]]=Tabela1[[#This Row],[Avaliador]],"Sim","Não")</f>
        <v>Sim</v>
      </c>
      <c r="Q48" t="b">
        <f>Tabela1[[#This Row],[email_repres]]=Tabela1[[#This Row],[e-mail novo avaliador]]</f>
        <v>1</v>
      </c>
    </row>
    <row r="49" spans="1:17" x14ac:dyDescent="0.25">
      <c r="A49" s="2" t="s">
        <v>73</v>
      </c>
      <c r="B49" s="2" t="s">
        <v>73</v>
      </c>
      <c r="C49" s="2" t="s">
        <v>74</v>
      </c>
      <c r="D49" s="2" t="s">
        <v>295</v>
      </c>
      <c r="E49" s="2" t="str">
        <f>VLOOKUP(Tabela1[[#This Row],[Avaliador]],Usuários!A:I,COLUMN($H$1),0)</f>
        <v>diego.araujo</v>
      </c>
      <c r="F49" s="2" t="str">
        <f>VLOOKUP(Tabela1[[#This Row],[Avaliador]],Usuários!$A:$I,COLUMN($I$1),0)</f>
        <v>410da!@</v>
      </c>
      <c r="G49" s="2" t="str">
        <f>VLOOKUP(Tabela1[[#This Row],[Participante]],Usuários!$A:$I,COLUMN($H$1),0)</f>
        <v>diego.araujo</v>
      </c>
      <c r="H49" s="2" t="str">
        <f>VLOOKUP(Tabela1[[#This Row],[Participante]],Usuários!$A:$I,COLUMN($I$1),0)</f>
        <v>410da!@</v>
      </c>
      <c r="I49" s="1" t="s">
        <v>6</v>
      </c>
      <c r="J49" s="1" t="s">
        <v>16</v>
      </c>
      <c r="K49" t="s">
        <v>74</v>
      </c>
      <c r="L49" t="s">
        <v>309</v>
      </c>
      <c r="M49" t="str">
        <f>IF(Tabela1[[#This Row],[Tipo_aval]]="auto","Ok",IF(ISERROR(VLOOKUP(Tabela1[[#This Row],[Participante]],Atualização!$B:$B,1,FALSE)),"Ok","Atualizar"))</f>
        <v>Ok</v>
      </c>
      <c r="N4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Diego Freitas Araujo</v>
      </c>
      <c r="O49" t="str">
        <f>IF(IFERROR(VLOOKUP(Tabela1[[#This Row],[Novo_Avaliador]],Usuários!$A:$B,2,FALSE),"")="","",IFERROR(VLOOKUP(Tabela1[[#This Row],[Novo_Avaliador]],Usuários!$A:$B,2,FALSE),""))</f>
        <v>diego.araujo@enind.com.br</v>
      </c>
      <c r="P49" t="str">
        <f>IF(Tabela1[[#This Row],[Novo_Avaliador]]=Tabela1[[#This Row],[Avaliador]],"Sim","Não")</f>
        <v>Sim</v>
      </c>
      <c r="Q49" t="b">
        <f>Tabela1[[#This Row],[email_repres]]=Tabela1[[#This Row],[e-mail novo avaliador]]</f>
        <v>1</v>
      </c>
    </row>
    <row r="50" spans="1:17" x14ac:dyDescent="0.25">
      <c r="A50" s="2" t="s">
        <v>79</v>
      </c>
      <c r="B50" s="2" t="s">
        <v>79</v>
      </c>
      <c r="C50" s="2" t="s">
        <v>80</v>
      </c>
      <c r="D50" s="2" t="s">
        <v>295</v>
      </c>
      <c r="E50" s="2" t="str">
        <f>VLOOKUP(Tabela1[[#This Row],[Avaliador]],Usuários!A:I,COLUMN($H$1),0)</f>
        <v>diego.santos</v>
      </c>
      <c r="F50" s="2" t="str">
        <f>VLOOKUP(Tabela1[[#This Row],[Avaliador]],Usuários!$A:$I,COLUMN($I$1),0)</f>
        <v>334ds!@</v>
      </c>
      <c r="G50" s="2" t="str">
        <f>VLOOKUP(Tabela1[[#This Row],[Participante]],Usuários!$A:$I,COLUMN($H$1),0)</f>
        <v>diego.santos</v>
      </c>
      <c r="H50" s="2" t="str">
        <f>VLOOKUP(Tabela1[[#This Row],[Participante]],Usuários!$A:$I,COLUMN($I$1),0)</f>
        <v>334ds!@</v>
      </c>
      <c r="I50" s="1" t="s">
        <v>6</v>
      </c>
      <c r="J50" s="1" t="s">
        <v>16</v>
      </c>
      <c r="K50" t="s">
        <v>80</v>
      </c>
      <c r="L50" t="s">
        <v>309</v>
      </c>
      <c r="M50" t="str">
        <f>IF(Tabela1[[#This Row],[Tipo_aval]]="auto","Ok",IF(ISERROR(VLOOKUP(Tabela1[[#This Row],[Participante]],Atualização!$B:$B,1,FALSE)),"Ok","Atualizar"))</f>
        <v>Ok</v>
      </c>
      <c r="N5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Diego Santos de Oliveira</v>
      </c>
      <c r="O50" t="str">
        <f>IF(IFERROR(VLOOKUP(Tabela1[[#This Row],[Novo_Avaliador]],Usuários!$A:$B,2,FALSE),"")="","",IFERROR(VLOOKUP(Tabela1[[#This Row],[Novo_Avaliador]],Usuários!$A:$B,2,FALSE),""))</f>
        <v>diego.santos@enind.com.br</v>
      </c>
      <c r="P50" t="str">
        <f>IF(Tabela1[[#This Row],[Novo_Avaliador]]=Tabela1[[#This Row],[Avaliador]],"Sim","Não")</f>
        <v>Sim</v>
      </c>
      <c r="Q50" t="b">
        <f>Tabela1[[#This Row],[email_repres]]=Tabela1[[#This Row],[e-mail novo avaliador]]</f>
        <v>1</v>
      </c>
    </row>
    <row r="51" spans="1:17" x14ac:dyDescent="0.25">
      <c r="A51" s="2" t="s">
        <v>88</v>
      </c>
      <c r="B51" s="2" t="s">
        <v>79</v>
      </c>
      <c r="C51" s="2" t="s">
        <v>80</v>
      </c>
      <c r="D51" s="2" t="s">
        <v>297</v>
      </c>
      <c r="E51" s="2" t="str">
        <f>VLOOKUP(Tabela1[[#This Row],[Avaliador]],Usuários!A:I,COLUMN($H$1),0)</f>
        <v>diego.santos</v>
      </c>
      <c r="F51" s="2" t="str">
        <f>VLOOKUP(Tabela1[[#This Row],[Avaliador]],Usuários!$A:$I,COLUMN($I$1),0)</f>
        <v>334ds!@</v>
      </c>
      <c r="G51" s="2" t="str">
        <f>VLOOKUP(Tabela1[[#This Row],[Participante]],Usuários!$A:$I,COLUMN($H$1),0)</f>
        <v>antonio.filho</v>
      </c>
      <c r="H51" s="2" t="str">
        <f>VLOOKUP(Tabela1[[#This Row],[Participante]],Usuários!$A:$I,COLUMN($I$1),0)</f>
        <v>897af!@</v>
      </c>
      <c r="I51" s="1" t="s">
        <v>6</v>
      </c>
      <c r="J51" s="1" t="s">
        <v>16</v>
      </c>
      <c r="K51" t="s">
        <v>80</v>
      </c>
      <c r="L51" t="s">
        <v>308</v>
      </c>
      <c r="M51" t="str">
        <f>IF(Tabela1[[#This Row],[Tipo_aval]]="auto","Ok",IF(ISERROR(VLOOKUP(Tabela1[[#This Row],[Participante]],Atualização!$B:$B,1,FALSE)),"Ok","Atualizar"))</f>
        <v>Ok</v>
      </c>
      <c r="N5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Diego Santos de Oliveira</v>
      </c>
      <c r="O51" t="str">
        <f>IF(IFERROR(VLOOKUP(Tabela1[[#This Row],[Novo_Avaliador]],Usuários!$A:$B,2,FALSE),"")="","",IFERROR(VLOOKUP(Tabela1[[#This Row],[Novo_Avaliador]],Usuários!$A:$B,2,FALSE),""))</f>
        <v>diego.santos@enind.com.br</v>
      </c>
      <c r="P51" t="str">
        <f>IF(Tabela1[[#This Row],[Novo_Avaliador]]=Tabela1[[#This Row],[Avaliador]],"Sim","Não")</f>
        <v>Sim</v>
      </c>
      <c r="Q51" t="b">
        <f>Tabela1[[#This Row],[email_repres]]=Tabela1[[#This Row],[e-mail novo avaliador]]</f>
        <v>1</v>
      </c>
    </row>
    <row r="52" spans="1:17" x14ac:dyDescent="0.25">
      <c r="A52" s="2" t="s">
        <v>83</v>
      </c>
      <c r="B52" s="2" t="s">
        <v>79</v>
      </c>
      <c r="C52" s="2" t="s">
        <v>80</v>
      </c>
      <c r="D52" s="2" t="s">
        <v>297</v>
      </c>
      <c r="E52" s="2" t="str">
        <f>VLOOKUP(Tabela1[[#This Row],[Avaliador]],Usuários!A:I,COLUMN($H$1),0)</f>
        <v>diego.santos</v>
      </c>
      <c r="F52" s="2" t="str">
        <f>VLOOKUP(Tabela1[[#This Row],[Avaliador]],Usuários!$A:$I,COLUMN($I$1),0)</f>
        <v>334ds!@</v>
      </c>
      <c r="G52" s="2" t="str">
        <f>VLOOKUP(Tabela1[[#This Row],[Participante]],Usuários!$A:$I,COLUMN($H$1),0)</f>
        <v>cicero.melo</v>
      </c>
      <c r="H52" s="2" t="str">
        <f>VLOOKUP(Tabela1[[#This Row],[Participante]],Usuários!$A:$I,COLUMN($I$1),0)</f>
        <v>003cm!@</v>
      </c>
      <c r="I52" s="1" t="s">
        <v>6</v>
      </c>
      <c r="J52" s="1" t="s">
        <v>16</v>
      </c>
      <c r="K52" t="s">
        <v>80</v>
      </c>
      <c r="L52" t="s">
        <v>308</v>
      </c>
      <c r="M52" t="str">
        <f>IF(Tabela1[[#This Row],[Tipo_aval]]="auto","Ok",IF(ISERROR(VLOOKUP(Tabela1[[#This Row],[Participante]],Atualização!$B:$B,1,FALSE)),"Ok","Atualizar"))</f>
        <v>Ok</v>
      </c>
      <c r="N5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Diego Santos de Oliveira</v>
      </c>
      <c r="O52" t="str">
        <f>IF(IFERROR(VLOOKUP(Tabela1[[#This Row],[Novo_Avaliador]],Usuários!$A:$B,2,FALSE),"")="","",IFERROR(VLOOKUP(Tabela1[[#This Row],[Novo_Avaliador]],Usuários!$A:$B,2,FALSE),""))</f>
        <v>diego.santos@enind.com.br</v>
      </c>
      <c r="P52" t="str">
        <f>IF(Tabela1[[#This Row],[Novo_Avaliador]]=Tabela1[[#This Row],[Avaliador]],"Sim","Não")</f>
        <v>Sim</v>
      </c>
      <c r="Q52" t="b">
        <f>Tabela1[[#This Row],[email_repres]]=Tabela1[[#This Row],[e-mail novo avaliador]]</f>
        <v>1</v>
      </c>
    </row>
    <row r="53" spans="1:17" x14ac:dyDescent="0.25">
      <c r="A53" s="2" t="s">
        <v>86</v>
      </c>
      <c r="B53" s="2" t="s">
        <v>79</v>
      </c>
      <c r="C53" s="2" t="s">
        <v>80</v>
      </c>
      <c r="D53" s="2" t="s">
        <v>297</v>
      </c>
      <c r="E53" s="2" t="str">
        <f>VLOOKUP(Tabela1[[#This Row],[Avaliador]],Usuários!A:I,COLUMN($H$1),0)</f>
        <v>diego.santos</v>
      </c>
      <c r="F53" s="2" t="str">
        <f>VLOOKUP(Tabela1[[#This Row],[Avaliador]],Usuários!$A:$I,COLUMN($I$1),0)</f>
        <v>334ds!@</v>
      </c>
      <c r="G53" s="2" t="str">
        <f>VLOOKUP(Tabela1[[#This Row],[Participante]],Usuários!$A:$I,COLUMN($H$1),0)</f>
        <v>josiel.silva</v>
      </c>
      <c r="H53" s="2" t="str">
        <f>VLOOKUP(Tabela1[[#This Row],[Participante]],Usuários!$A:$I,COLUMN($I$1),0)</f>
        <v>162js!@</v>
      </c>
      <c r="I53" s="1" t="s">
        <v>6</v>
      </c>
      <c r="J53" s="1" t="s">
        <v>16</v>
      </c>
      <c r="K53" t="s">
        <v>80</v>
      </c>
      <c r="L53" t="s">
        <v>308</v>
      </c>
      <c r="M53" t="str">
        <f>IF(Tabela1[[#This Row],[Tipo_aval]]="auto","Ok",IF(ISERROR(VLOOKUP(Tabela1[[#This Row],[Participante]],Atualização!$B:$B,1,FALSE)),"Ok","Atualizar"))</f>
        <v>Ok</v>
      </c>
      <c r="N5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Diego Santos de Oliveira</v>
      </c>
      <c r="O53" t="str">
        <f>IF(IFERROR(VLOOKUP(Tabela1[[#This Row],[Novo_Avaliador]],Usuários!$A:$B,2,FALSE),"")="","",IFERROR(VLOOKUP(Tabela1[[#This Row],[Novo_Avaliador]],Usuários!$A:$B,2,FALSE),""))</f>
        <v>diego.santos@enind.com.br</v>
      </c>
      <c r="P53" t="str">
        <f>IF(Tabela1[[#This Row],[Novo_Avaliador]]=Tabela1[[#This Row],[Avaliador]],"Sim","Não")</f>
        <v>Sim</v>
      </c>
      <c r="Q53" t="b">
        <f>Tabela1[[#This Row],[email_repres]]=Tabela1[[#This Row],[e-mail novo avaliador]]</f>
        <v>1</v>
      </c>
    </row>
    <row r="54" spans="1:17" x14ac:dyDescent="0.25">
      <c r="A54" t="s">
        <v>329</v>
      </c>
      <c r="B54" t="s">
        <v>329</v>
      </c>
      <c r="C54" t="s">
        <v>428</v>
      </c>
      <c r="D54" t="s">
        <v>295</v>
      </c>
      <c r="E54" s="2" t="str">
        <f>VLOOKUP(Tabela1[[#This Row],[Avaliador]],Usuários!A:I,COLUMN($H$1),0)</f>
        <v>eder.fernandes</v>
      </c>
      <c r="F54" s="2" t="str">
        <f>VLOOKUP(Tabela1[[#This Row],[Avaliador]],Usuários!$A:$I,COLUMN($I$1),0)</f>
        <v>130ef!@</v>
      </c>
      <c r="G54" s="2" t="str">
        <f>VLOOKUP(Tabela1[[#This Row],[Participante]],Usuários!$A:$I,COLUMN($H$1),0)</f>
        <v>eder.fernandes</v>
      </c>
      <c r="H54" s="2" t="str">
        <f>VLOOKUP(Tabela1[[#This Row],[Participante]],Usuários!$A:$I,COLUMN($I$1),0)</f>
        <v>130ef!@</v>
      </c>
      <c r="I54" s="1" t="s">
        <v>6</v>
      </c>
      <c r="J54" s="1" t="s">
        <v>16</v>
      </c>
      <c r="K54" t="s">
        <v>428</v>
      </c>
      <c r="L54" t="s">
        <v>307</v>
      </c>
      <c r="M54" t="str">
        <f>IF(Tabela1[[#This Row],[Tipo_aval]]="auto","Ok",IF(ISERROR(VLOOKUP(Tabela1[[#This Row],[Participante]],Atualização!$B:$B,1,FALSE)),"Ok","Atualizar"))</f>
        <v>Ok</v>
      </c>
      <c r="N5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Eder da Silva Fernandes</v>
      </c>
      <c r="O54" t="str">
        <f>IF(IFERROR(VLOOKUP(Tabela1[[#This Row],[Novo_Avaliador]],Usuários!$A:$B,2,FALSE),"")="","",IFERROR(VLOOKUP(Tabela1[[#This Row],[Novo_Avaliador]],Usuários!$A:$B,2,FALSE),""))</f>
        <v>eder.fernandes@enindservicos.com.br</v>
      </c>
      <c r="P54" t="str">
        <f>IF(Tabela1[[#This Row],[Novo_Avaliador]]=Tabela1[[#This Row],[Avaliador]],"Sim","Não")</f>
        <v>Sim</v>
      </c>
      <c r="Q54" t="b">
        <f>Tabela1[[#This Row],[email_repres]]=Tabela1[[#This Row],[e-mail novo avaliador]]</f>
        <v>1</v>
      </c>
    </row>
    <row r="55" spans="1:17" x14ac:dyDescent="0.25">
      <c r="A55" s="2" t="s">
        <v>91</v>
      </c>
      <c r="B55" s="2" t="s">
        <v>91</v>
      </c>
      <c r="C55" s="2" t="s">
        <v>92</v>
      </c>
      <c r="D55" s="2" t="s">
        <v>295</v>
      </c>
      <c r="E55" s="2" t="str">
        <f>VLOOKUP(Tabela1[[#This Row],[Avaliador]],Usuários!A:I,COLUMN($H$1),0)</f>
        <v>ediberto.pescaroli</v>
      </c>
      <c r="F55" s="2" t="str">
        <f>VLOOKUP(Tabela1[[#This Row],[Avaliador]],Usuários!$A:$I,COLUMN($I$1),0)</f>
        <v>160ep!@</v>
      </c>
      <c r="G55" s="2" t="str">
        <f>VLOOKUP(Tabela1[[#This Row],[Participante]],Usuários!$A:$I,COLUMN($H$1),0)</f>
        <v>ediberto.pescaroli</v>
      </c>
      <c r="H55" s="2" t="str">
        <f>VLOOKUP(Tabela1[[#This Row],[Participante]],Usuários!$A:$I,COLUMN($I$1),0)</f>
        <v>160ep!@</v>
      </c>
      <c r="I55" s="1" t="s">
        <v>6</v>
      </c>
      <c r="J55" s="1" t="s">
        <v>16</v>
      </c>
      <c r="K55" t="s">
        <v>92</v>
      </c>
      <c r="L55" t="s">
        <v>307</v>
      </c>
      <c r="M55" t="str">
        <f>IF(Tabela1[[#This Row],[Tipo_aval]]="auto","Ok",IF(ISERROR(VLOOKUP(Tabela1[[#This Row],[Participante]],Atualização!$B:$B,1,FALSE)),"Ok","Atualizar"))</f>
        <v>Ok</v>
      </c>
      <c r="N5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Ediberto Ronei Pescaroli</v>
      </c>
      <c r="O55" t="str">
        <f>IF(IFERROR(VLOOKUP(Tabela1[[#This Row],[Novo_Avaliador]],Usuários!$A:$B,2,FALSE),"")="","",IFERROR(VLOOKUP(Tabela1[[#This Row],[Novo_Avaliador]],Usuários!$A:$B,2,FALSE),""))</f>
        <v>ediberto.pescaroli@enindservicos.com.br</v>
      </c>
      <c r="P55" t="str">
        <f>IF(Tabela1[[#This Row],[Novo_Avaliador]]=Tabela1[[#This Row],[Avaliador]],"Sim","Não")</f>
        <v>Sim</v>
      </c>
      <c r="Q55" t="b">
        <f>Tabela1[[#This Row],[email_repres]]=Tabela1[[#This Row],[e-mail novo avaliador]]</f>
        <v>1</v>
      </c>
    </row>
    <row r="56" spans="1:17" x14ac:dyDescent="0.25">
      <c r="A56" s="2" t="s">
        <v>37</v>
      </c>
      <c r="B56" s="2" t="s">
        <v>37</v>
      </c>
      <c r="C56" s="2" t="s">
        <v>95</v>
      </c>
      <c r="D56" s="2" t="s">
        <v>295</v>
      </c>
      <c r="E56" s="2" t="str">
        <f>VLOOKUP(Tabela1[[#This Row],[Avaliador]],Usuários!A:I,COLUMN($H$1),0)</f>
        <v>eliza.moreira</v>
      </c>
      <c r="F56" s="2" t="str">
        <f>VLOOKUP(Tabela1[[#This Row],[Avaliador]],Usuários!$A:$I,COLUMN($I$1),0)</f>
        <v>650em!@</v>
      </c>
      <c r="G56" s="2" t="str">
        <f>VLOOKUP(Tabela1[[#This Row],[Participante]],Usuários!$A:$I,COLUMN($H$1),0)</f>
        <v>eliza.moreira</v>
      </c>
      <c r="H56" s="2" t="str">
        <f>VLOOKUP(Tabela1[[#This Row],[Participante]],Usuários!$A:$I,COLUMN($I$1),0)</f>
        <v>650em!@</v>
      </c>
      <c r="I56" s="1" t="s">
        <v>6</v>
      </c>
      <c r="J56" s="1" t="s">
        <v>16</v>
      </c>
      <c r="K56" t="s">
        <v>95</v>
      </c>
      <c r="L56" t="s">
        <v>309</v>
      </c>
      <c r="M56" t="str">
        <f>IF(Tabela1[[#This Row],[Tipo_aval]]="auto","Ok",IF(ISERROR(VLOOKUP(Tabela1[[#This Row],[Participante]],Atualização!$B:$B,1,FALSE)),"Ok","Atualizar"))</f>
        <v>Ok</v>
      </c>
      <c r="N5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56" t="str">
        <f>IF(IFERROR(VLOOKUP(Tabela1[[#This Row],[Novo_Avaliador]],Usuários!$A:$B,2,FALSE),"")="","",IFERROR(VLOOKUP(Tabela1[[#This Row],[Novo_Avaliador]],Usuários!$A:$B,2,FALSE),""))</f>
        <v>eliza.moreira@enind.com.br</v>
      </c>
      <c r="P56" t="str">
        <f>IF(Tabela1[[#This Row],[Novo_Avaliador]]=Tabela1[[#This Row],[Avaliador]],"Sim","Não")</f>
        <v>Sim</v>
      </c>
      <c r="Q56" t="b">
        <f>Tabela1[[#This Row],[email_repres]]=Tabela1[[#This Row],[e-mail novo avaliador]]</f>
        <v>1</v>
      </c>
    </row>
    <row r="57" spans="1:17" x14ac:dyDescent="0.25">
      <c r="A57" s="2" t="s">
        <v>97</v>
      </c>
      <c r="B57" s="2" t="s">
        <v>37</v>
      </c>
      <c r="C57" s="2" t="s">
        <v>95</v>
      </c>
      <c r="D57" s="2" t="s">
        <v>297</v>
      </c>
      <c r="E57" s="2" t="str">
        <f>VLOOKUP(Tabela1[[#This Row],[Avaliador]],Usuários!A:I,COLUMN($H$1),0)</f>
        <v>eliza.moreira</v>
      </c>
      <c r="F57" s="2" t="str">
        <f>VLOOKUP(Tabela1[[#This Row],[Avaliador]],Usuários!$A:$I,COLUMN($I$1),0)</f>
        <v>650em!@</v>
      </c>
      <c r="G57" s="2" t="str">
        <f>VLOOKUP(Tabela1[[#This Row],[Participante]],Usuários!$A:$I,COLUMN($H$1),0)</f>
        <v>james.custodio</v>
      </c>
      <c r="H57" s="2" t="str">
        <f>VLOOKUP(Tabela1[[#This Row],[Participante]],Usuários!$A:$I,COLUMN($I$1),0)</f>
        <v>519jc!@</v>
      </c>
      <c r="I57" s="1" t="s">
        <v>6</v>
      </c>
      <c r="J57" s="1" t="s">
        <v>16</v>
      </c>
      <c r="K57" t="s">
        <v>95</v>
      </c>
      <c r="L57" t="s">
        <v>307</v>
      </c>
      <c r="M57" t="str">
        <f>IF(Tabela1[[#This Row],[Tipo_aval]]="auto","Ok",IF(ISERROR(VLOOKUP(Tabela1[[#This Row],[Participante]],Atualização!$B:$B,1,FALSE)),"Ok","Atualizar"))</f>
        <v>Ok</v>
      </c>
      <c r="N5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57" t="str">
        <f>IF(IFERROR(VLOOKUP(Tabela1[[#This Row],[Novo_Avaliador]],Usuários!$A:$B,2,FALSE),"")="","",IFERROR(VLOOKUP(Tabela1[[#This Row],[Novo_Avaliador]],Usuários!$A:$B,2,FALSE),""))</f>
        <v>eliza.moreira@enind.com.br</v>
      </c>
      <c r="P57" t="str">
        <f>IF(Tabela1[[#This Row],[Novo_Avaliador]]=Tabela1[[#This Row],[Avaliador]],"Sim","Não")</f>
        <v>Sim</v>
      </c>
      <c r="Q57" t="b">
        <f>Tabela1[[#This Row],[email_repres]]=Tabela1[[#This Row],[e-mail novo avaliador]]</f>
        <v>1</v>
      </c>
    </row>
    <row r="58" spans="1:17" x14ac:dyDescent="0.25">
      <c r="A58" t="s">
        <v>99</v>
      </c>
      <c r="B58" t="s">
        <v>37</v>
      </c>
      <c r="C58" t="s">
        <v>95</v>
      </c>
      <c r="D58" t="s">
        <v>297</v>
      </c>
      <c r="E58" s="2" t="str">
        <f>VLOOKUP(Tabela1[[#This Row],[Avaliador]],Usuários!A:I,COLUMN($H$1),0)</f>
        <v>eliza.moreira</v>
      </c>
      <c r="F58" s="2" t="str">
        <f>VLOOKUP(Tabela1[[#This Row],[Avaliador]],Usuários!$A:$I,COLUMN($I$1),0)</f>
        <v>650em!@</v>
      </c>
      <c r="G58" s="2" t="str">
        <f>VLOOKUP(Tabela1[[#This Row],[Participante]],Usuários!$A:$I,COLUMN($H$1),0)</f>
        <v>jose.alves</v>
      </c>
      <c r="H58" s="2" t="str">
        <f>VLOOKUP(Tabela1[[#This Row],[Participante]],Usuários!$A:$I,COLUMN($I$1),0)</f>
        <v>882ja!@</v>
      </c>
      <c r="I58" s="1" t="s">
        <v>16</v>
      </c>
      <c r="J58" s="1" t="s">
        <v>16</v>
      </c>
      <c r="K58" t="s">
        <v>95</v>
      </c>
      <c r="L58" t="s">
        <v>307</v>
      </c>
      <c r="M58" t="str">
        <f>IF(Tabela1[[#This Row],[Tipo_aval]]="auto","Ok",IF(ISERROR(VLOOKUP(Tabela1[[#This Row],[Participante]],Atualização!$B:$B,1,FALSE)),"Ok","Atualizar"))</f>
        <v>Ok</v>
      </c>
      <c r="N5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58" t="str">
        <f>IF(IFERROR(VLOOKUP(Tabela1[[#This Row],[Novo_Avaliador]],Usuários!$A:$B,2,FALSE),"")="","",IFERROR(VLOOKUP(Tabela1[[#This Row],[Novo_Avaliador]],Usuários!$A:$B,2,FALSE),""))</f>
        <v>eliza.moreira@enind.com.br</v>
      </c>
      <c r="P58" t="str">
        <f>IF(Tabela1[[#This Row],[Novo_Avaliador]]=Tabela1[[#This Row],[Avaliador]],"Sim","Não")</f>
        <v>Sim</v>
      </c>
      <c r="Q58" t="b">
        <f>Tabela1[[#This Row],[email_repres]]=Tabela1[[#This Row],[e-mail novo avaliador]]</f>
        <v>1</v>
      </c>
    </row>
    <row r="59" spans="1:17" x14ac:dyDescent="0.25">
      <c r="A59" t="s">
        <v>57</v>
      </c>
      <c r="B59" t="s">
        <v>37</v>
      </c>
      <c r="C59" t="s">
        <v>95</v>
      </c>
      <c r="D59" t="s">
        <v>297</v>
      </c>
      <c r="E59" s="2" t="str">
        <f>VLOOKUP(Tabela1[[#This Row],[Avaliador]],Usuários!A:I,COLUMN($H$1),0)</f>
        <v>eliza.moreira</v>
      </c>
      <c r="F59" s="2" t="str">
        <f>VLOOKUP(Tabela1[[#This Row],[Avaliador]],Usuários!$A:$I,COLUMN($I$1),0)</f>
        <v>650em!@</v>
      </c>
      <c r="G59" s="2" t="str">
        <f>VLOOKUP(Tabela1[[#This Row],[Participante]],Usuários!$A:$I,COLUMN($H$1),0)</f>
        <v>nazareno.neto</v>
      </c>
      <c r="H59" s="2" t="str">
        <f>VLOOKUP(Tabela1[[#This Row],[Participante]],Usuários!$A:$I,COLUMN($I$1),0)</f>
        <v>202nn!@</v>
      </c>
      <c r="I59" s="1" t="s">
        <v>6</v>
      </c>
      <c r="J59" s="1" t="s">
        <v>16</v>
      </c>
      <c r="K59" t="s">
        <v>95</v>
      </c>
      <c r="L59" t="s">
        <v>307</v>
      </c>
      <c r="M59" t="str">
        <f>IF(Tabela1[[#This Row],[Tipo_aval]]="auto","Ok",IF(ISERROR(VLOOKUP(Tabela1[[#This Row],[Participante]],Atualização!$B:$B,1,FALSE)),"Ok","Atualizar"))</f>
        <v>Ok</v>
      </c>
      <c r="N5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59" t="str">
        <f>IF(IFERROR(VLOOKUP(Tabela1[[#This Row],[Novo_Avaliador]],Usuários!$A:$B,2,FALSE),"")="","",IFERROR(VLOOKUP(Tabela1[[#This Row],[Novo_Avaliador]],Usuários!$A:$B,2,FALSE),""))</f>
        <v>eliza.moreira@enind.com.br</v>
      </c>
      <c r="P59" t="str">
        <f>IF(Tabela1[[#This Row],[Novo_Avaliador]]=Tabela1[[#This Row],[Avaliador]],"Sim","Não")</f>
        <v>Sim</v>
      </c>
      <c r="Q59" t="b">
        <f>Tabela1[[#This Row],[email_repres]]=Tabela1[[#This Row],[e-mail novo avaliador]]</f>
        <v>1</v>
      </c>
    </row>
    <row r="60" spans="1:17" x14ac:dyDescent="0.25">
      <c r="A60" s="2" t="s">
        <v>102</v>
      </c>
      <c r="B60" s="2" t="s">
        <v>37</v>
      </c>
      <c r="C60" s="2" t="s">
        <v>95</v>
      </c>
      <c r="D60" s="2" t="s">
        <v>297</v>
      </c>
      <c r="E60" s="2" t="str">
        <f>VLOOKUP(Tabela1[[#This Row],[Avaliador]],Usuários!A:I,COLUMN($H$1),0)</f>
        <v>eliza.moreira</v>
      </c>
      <c r="F60" s="2" t="str">
        <f>VLOOKUP(Tabela1[[#This Row],[Avaliador]],Usuários!$A:$I,COLUMN($I$1),0)</f>
        <v>650em!@</v>
      </c>
      <c r="G60" s="2" t="str">
        <f>VLOOKUP(Tabela1[[#This Row],[Participante]],Usuários!$A:$I,COLUMN($H$1),0)</f>
        <v>paulo.costa</v>
      </c>
      <c r="H60" s="2" t="str">
        <f>VLOOKUP(Tabela1[[#This Row],[Participante]],Usuários!$A:$I,COLUMN($I$1),0)</f>
        <v>745pc!@</v>
      </c>
      <c r="I60" s="1" t="s">
        <v>6</v>
      </c>
      <c r="J60" s="1" t="s">
        <v>16</v>
      </c>
      <c r="K60" t="s">
        <v>95</v>
      </c>
      <c r="L60" t="s">
        <v>308</v>
      </c>
      <c r="M60" t="str">
        <f>IF(Tabela1[[#This Row],[Tipo_aval]]="auto","Ok",IF(ISERROR(VLOOKUP(Tabela1[[#This Row],[Participante]],Atualização!$B:$B,1,FALSE)),"Ok","Atualizar"))</f>
        <v>Ok</v>
      </c>
      <c r="N6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60" t="str">
        <f>IF(IFERROR(VLOOKUP(Tabela1[[#This Row],[Novo_Avaliador]],Usuários!$A:$B,2,FALSE),"")="","",IFERROR(VLOOKUP(Tabela1[[#This Row],[Novo_Avaliador]],Usuários!$A:$B,2,FALSE),""))</f>
        <v>eliza.moreira@enind.com.br</v>
      </c>
      <c r="P60" t="str">
        <f>IF(Tabela1[[#This Row],[Novo_Avaliador]]=Tabela1[[#This Row],[Avaliador]],"Sim","Não")</f>
        <v>Sim</v>
      </c>
      <c r="Q60" t="b">
        <f>Tabela1[[#This Row],[email_repres]]=Tabela1[[#This Row],[e-mail novo avaliador]]</f>
        <v>1</v>
      </c>
    </row>
    <row r="61" spans="1:17" x14ac:dyDescent="0.25">
      <c r="A61" s="2" t="s">
        <v>104</v>
      </c>
      <c r="B61" s="2" t="s">
        <v>37</v>
      </c>
      <c r="C61" s="2" t="s">
        <v>95</v>
      </c>
      <c r="D61" s="2" t="s">
        <v>297</v>
      </c>
      <c r="E61" s="2" t="str">
        <f>VLOOKUP(Tabela1[[#This Row],[Avaliador]],Usuários!A:I,COLUMN($H$1),0)</f>
        <v>eliza.moreira</v>
      </c>
      <c r="F61" s="2" t="str">
        <f>VLOOKUP(Tabela1[[#This Row],[Avaliador]],Usuários!$A:$I,COLUMN($I$1),0)</f>
        <v>650em!@</v>
      </c>
      <c r="G61" s="2" t="str">
        <f>VLOOKUP(Tabela1[[#This Row],[Participante]],Usuários!$A:$I,COLUMN($H$1),0)</f>
        <v>rauan.silva</v>
      </c>
      <c r="H61" s="2" t="str">
        <f>VLOOKUP(Tabela1[[#This Row],[Participante]],Usuários!$A:$I,COLUMN($I$1),0)</f>
        <v>390rs!@</v>
      </c>
      <c r="I61" s="1" t="s">
        <v>6</v>
      </c>
      <c r="J61" s="1" t="s">
        <v>16</v>
      </c>
      <c r="K61" t="s">
        <v>95</v>
      </c>
      <c r="L61" t="s">
        <v>307</v>
      </c>
      <c r="M61" t="str">
        <f>IF(Tabela1[[#This Row],[Tipo_aval]]="auto","Ok",IF(ISERROR(VLOOKUP(Tabela1[[#This Row],[Participante]],Atualização!$B:$B,1,FALSE)),"Ok","Atualizar"))</f>
        <v>Ok</v>
      </c>
      <c r="N6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61" t="str">
        <f>IF(IFERROR(VLOOKUP(Tabela1[[#This Row],[Novo_Avaliador]],Usuários!$A:$B,2,FALSE),"")="","",IFERROR(VLOOKUP(Tabela1[[#This Row],[Novo_Avaliador]],Usuários!$A:$B,2,FALSE),""))</f>
        <v>eliza.moreira@enind.com.br</v>
      </c>
      <c r="P61" t="str">
        <f>IF(Tabela1[[#This Row],[Novo_Avaliador]]=Tabela1[[#This Row],[Avaliador]],"Sim","Não")</f>
        <v>Sim</v>
      </c>
      <c r="Q61" t="b">
        <f>Tabela1[[#This Row],[email_repres]]=Tabela1[[#This Row],[e-mail novo avaliador]]</f>
        <v>1</v>
      </c>
    </row>
    <row r="62" spans="1:17" x14ac:dyDescent="0.25">
      <c r="A62" t="s">
        <v>32</v>
      </c>
      <c r="B62" t="s">
        <v>37</v>
      </c>
      <c r="C62" t="s">
        <v>95</v>
      </c>
      <c r="D62" t="s">
        <v>303</v>
      </c>
      <c r="E62" s="2" t="str">
        <f>VLOOKUP(Tabela1[[#This Row],[Avaliador]],Usuários!A:I,COLUMN($H$1),0)</f>
        <v>eliza.moreira</v>
      </c>
      <c r="F62" s="2" t="str">
        <f>VLOOKUP(Tabela1[[#This Row],[Avaliador]],Usuários!$A:$I,COLUMN($I$1),0)</f>
        <v>650em!@</v>
      </c>
      <c r="G62" s="2" t="str">
        <f>VLOOKUP(Tabela1[[#This Row],[Participante]],Usuários!$A:$I,COLUMN($H$1),0)</f>
        <v>devanir.magalhaes</v>
      </c>
      <c r="H62" s="2" t="str">
        <f>VLOOKUP(Tabela1[[#This Row],[Participante]],Usuários!$A:$I,COLUMN($I$1),0)</f>
        <v>639dm!@</v>
      </c>
      <c r="I62" s="1" t="s">
        <v>16</v>
      </c>
      <c r="J62" s="1" t="s">
        <v>16</v>
      </c>
      <c r="K62" t="s">
        <v>95</v>
      </c>
      <c r="L62" t="s">
        <v>308</v>
      </c>
      <c r="M62" t="str">
        <f>IF(Tabela1[[#This Row],[Tipo_aval]]="auto","Ok",IF(ISERROR(VLOOKUP(Tabela1[[#This Row],[Participante]],Atualização!$B:$B,1,FALSE)),"Ok","Atualizar"))</f>
        <v>Ok</v>
      </c>
      <c r="N6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62" t="str">
        <f>IF(IFERROR(VLOOKUP(Tabela1[[#This Row],[Novo_Avaliador]],Usuários!$A:$B,2,FALSE),"")="","",IFERROR(VLOOKUP(Tabela1[[#This Row],[Novo_Avaliador]],Usuários!$A:$B,2,FALSE),""))</f>
        <v>eliza.moreira@enind.com.br</v>
      </c>
      <c r="P62" t="str">
        <f>IF(Tabela1[[#This Row],[Novo_Avaliador]]=Tabela1[[#This Row],[Avaliador]],"Sim","Não")</f>
        <v>Sim</v>
      </c>
      <c r="Q62" t="b">
        <f>Tabela1[[#This Row],[email_repres]]=Tabela1[[#This Row],[e-mail novo avaliador]]</f>
        <v>1</v>
      </c>
    </row>
    <row r="63" spans="1:17" x14ac:dyDescent="0.25">
      <c r="A63" t="s">
        <v>148</v>
      </c>
      <c r="B63" t="s">
        <v>37</v>
      </c>
      <c r="C63" t="s">
        <v>95</v>
      </c>
      <c r="D63" t="s">
        <v>303</v>
      </c>
      <c r="E63" s="2" t="str">
        <f>VLOOKUP(Tabela1[[#This Row],[Avaliador]],Usuários!A:I,COLUMN($H$1),0)</f>
        <v>eliza.moreira</v>
      </c>
      <c r="F63" s="2" t="str">
        <f>VLOOKUP(Tabela1[[#This Row],[Avaliador]],Usuários!$A:$I,COLUMN($I$1),0)</f>
        <v>650em!@</v>
      </c>
      <c r="G63" s="2" t="str">
        <f>VLOOKUP(Tabela1[[#This Row],[Participante]],Usuários!$A:$I,COLUMN($H$1),0)</f>
        <v>fabiano.sousa</v>
      </c>
      <c r="H63" s="2" t="str">
        <f>VLOOKUP(Tabela1[[#This Row],[Participante]],Usuários!$A:$I,COLUMN($I$1),0)</f>
        <v>668fs!@</v>
      </c>
      <c r="I63" s="1" t="s">
        <v>16</v>
      </c>
      <c r="J63" s="1" t="s">
        <v>16</v>
      </c>
      <c r="K63" t="s">
        <v>95</v>
      </c>
      <c r="L63" t="s">
        <v>307</v>
      </c>
      <c r="M63" t="str">
        <f>IF(Tabela1[[#This Row],[Tipo_aval]]="auto","Ok",IF(ISERROR(VLOOKUP(Tabela1[[#This Row],[Participante]],Atualização!$B:$B,1,FALSE)),"Ok","Atualizar"))</f>
        <v>Ok</v>
      </c>
      <c r="N6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63" t="str">
        <f>IF(IFERROR(VLOOKUP(Tabela1[[#This Row],[Novo_Avaliador]],Usuários!$A:$B,2,FALSE),"")="","",IFERROR(VLOOKUP(Tabela1[[#This Row],[Novo_Avaliador]],Usuários!$A:$B,2,FALSE),""))</f>
        <v>eliza.moreira@enind.com.br</v>
      </c>
      <c r="P63" t="str">
        <f>IF(Tabela1[[#This Row],[Novo_Avaliador]]=Tabela1[[#This Row],[Avaliador]],"Sim","Não")</f>
        <v>Sim</v>
      </c>
      <c r="Q63" t="b">
        <f>Tabela1[[#This Row],[email_repres]]=Tabela1[[#This Row],[e-mail novo avaliador]]</f>
        <v>1</v>
      </c>
    </row>
    <row r="64" spans="1:17" x14ac:dyDescent="0.25">
      <c r="A64" t="s">
        <v>237</v>
      </c>
      <c r="B64" t="s">
        <v>37</v>
      </c>
      <c r="C64" t="s">
        <v>95</v>
      </c>
      <c r="D64" t="s">
        <v>303</v>
      </c>
      <c r="E64" s="2" t="str">
        <f>VLOOKUP(Tabela1[[#This Row],[Avaliador]],Usuários!A:I,COLUMN($H$1),0)</f>
        <v>eliza.moreira</v>
      </c>
      <c r="F64" s="2" t="str">
        <f>VLOOKUP(Tabela1[[#This Row],[Avaliador]],Usuários!$A:$I,COLUMN($I$1),0)</f>
        <v>650em!@</v>
      </c>
      <c r="G64" s="2" t="str">
        <f>VLOOKUP(Tabela1[[#This Row],[Participante]],Usuários!$A:$I,COLUMN($H$1),0)</f>
        <v>maria.sousa</v>
      </c>
      <c r="H64" s="2" t="str">
        <f>VLOOKUP(Tabela1[[#This Row],[Participante]],Usuários!$A:$I,COLUMN($I$1),0)</f>
        <v>955ms!@</v>
      </c>
      <c r="I64" s="1" t="s">
        <v>16</v>
      </c>
      <c r="J64" s="1" t="s">
        <v>16</v>
      </c>
      <c r="K64" t="s">
        <v>95</v>
      </c>
      <c r="L64" t="s">
        <v>307</v>
      </c>
      <c r="M64" t="str">
        <f>IF(Tabela1[[#This Row],[Tipo_aval]]="auto","Ok",IF(ISERROR(VLOOKUP(Tabela1[[#This Row],[Participante]],Atualização!$B:$B,1,FALSE)),"Ok","Atualizar"))</f>
        <v>Ok</v>
      </c>
      <c r="N6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Eliza Crisley Lima Moreira</v>
      </c>
      <c r="O64" t="str">
        <f>IF(IFERROR(VLOOKUP(Tabela1[[#This Row],[Novo_Avaliador]],Usuários!$A:$B,2,FALSE),"")="","",IFERROR(VLOOKUP(Tabela1[[#This Row],[Novo_Avaliador]],Usuários!$A:$B,2,FALSE),""))</f>
        <v>eliza.moreira@enind.com.br</v>
      </c>
      <c r="P64" t="str">
        <f>IF(Tabela1[[#This Row],[Novo_Avaliador]]=Tabela1[[#This Row],[Avaliador]],"Sim","Não")</f>
        <v>Sim</v>
      </c>
      <c r="Q64" t="b">
        <f>Tabela1[[#This Row],[email_repres]]=Tabela1[[#This Row],[e-mail novo avaliador]]</f>
        <v>1</v>
      </c>
    </row>
    <row r="65" spans="1:17" x14ac:dyDescent="0.25">
      <c r="A65" s="2" t="s">
        <v>14</v>
      </c>
      <c r="B65" s="2" t="s">
        <v>14</v>
      </c>
      <c r="C65" s="2" t="s">
        <v>106</v>
      </c>
      <c r="D65" s="2" t="s">
        <v>295</v>
      </c>
      <c r="E65" s="2" t="str">
        <f>VLOOKUP(Tabela1[[#This Row],[Avaliador]],Usuários!A:I,COLUMN($H$1),0)</f>
        <v>ellian.nunes</v>
      </c>
      <c r="F65" s="2" t="str">
        <f>VLOOKUP(Tabela1[[#This Row],[Avaliador]],Usuários!$A:$I,COLUMN($I$1),0)</f>
        <v>574en!@</v>
      </c>
      <c r="G65" s="2" t="str">
        <f>VLOOKUP(Tabela1[[#This Row],[Participante]],Usuários!$A:$I,COLUMN($H$1),0)</f>
        <v>ellian.nunes</v>
      </c>
      <c r="H65" s="2" t="str">
        <f>VLOOKUP(Tabela1[[#This Row],[Participante]],Usuários!$A:$I,COLUMN($I$1),0)</f>
        <v>574en!@</v>
      </c>
      <c r="I65" s="1" t="s">
        <v>6</v>
      </c>
      <c r="J65" s="1" t="s">
        <v>16</v>
      </c>
      <c r="K65" t="s">
        <v>106</v>
      </c>
      <c r="L65" t="s">
        <v>309</v>
      </c>
      <c r="M65" t="str">
        <f>IF(Tabela1[[#This Row],[Tipo_aval]]="auto","Ok",IF(ISERROR(VLOOKUP(Tabela1[[#This Row],[Participante]],Atualização!$B:$B,1,FALSE)),"Ok","Atualizar"))</f>
        <v>Ok</v>
      </c>
      <c r="N6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Ellian Fernando Leite Maciel Nunes</v>
      </c>
      <c r="O65" t="str">
        <f>IF(IFERROR(VLOOKUP(Tabela1[[#This Row],[Novo_Avaliador]],Usuários!$A:$B,2,FALSE),"")="","",IFERROR(VLOOKUP(Tabela1[[#This Row],[Novo_Avaliador]],Usuários!$A:$B,2,FALSE),""))</f>
        <v>ellian.nunes@enind.com.br</v>
      </c>
      <c r="P65" t="str">
        <f>IF(Tabela1[[#This Row],[Novo_Avaliador]]=Tabela1[[#This Row],[Avaliador]],"Sim","Não")</f>
        <v>Sim</v>
      </c>
      <c r="Q65" t="b">
        <f>Tabela1[[#This Row],[email_repres]]=Tabela1[[#This Row],[e-mail novo avaliador]]</f>
        <v>1</v>
      </c>
    </row>
    <row r="66" spans="1:17" x14ac:dyDescent="0.25">
      <c r="A66" t="s">
        <v>13</v>
      </c>
      <c r="B66" t="s">
        <v>14</v>
      </c>
      <c r="C66" t="s">
        <v>106</v>
      </c>
      <c r="D66" t="s">
        <v>297</v>
      </c>
      <c r="E66" s="2" t="str">
        <f>VLOOKUP(Tabela1[[#This Row],[Avaliador]],Usuários!A:I,COLUMN($H$1),0)</f>
        <v>ellian.nunes</v>
      </c>
      <c r="F66" s="2" t="str">
        <f>VLOOKUP(Tabela1[[#This Row],[Avaliador]],Usuários!$A:$I,COLUMN($I$1),0)</f>
        <v>574en!@</v>
      </c>
      <c r="G66" s="2" t="str">
        <f>VLOOKUP(Tabela1[[#This Row],[Participante]],Usuários!$A:$I,COLUMN($H$1),0)</f>
        <v>antonio.sousa</v>
      </c>
      <c r="H66" s="2" t="str">
        <f>VLOOKUP(Tabela1[[#This Row],[Participante]],Usuários!$A:$I,COLUMN($I$1),0)</f>
        <v>721as!@</v>
      </c>
      <c r="I66" s="1" t="s">
        <v>6</v>
      </c>
      <c r="J66" s="1" t="s">
        <v>16</v>
      </c>
      <c r="K66" t="s">
        <v>106</v>
      </c>
      <c r="L66" t="s">
        <v>308</v>
      </c>
      <c r="M66" t="str">
        <f>IF(Tabela1[[#This Row],[Tipo_aval]]="auto","Ok",IF(ISERROR(VLOOKUP(Tabela1[[#This Row],[Participante]],Atualização!$B:$B,1,FALSE)),"Ok","Atualizar"))</f>
        <v>Ok</v>
      </c>
      <c r="N6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Ellian Fernando Leite Maciel Nunes</v>
      </c>
      <c r="O66" t="str">
        <f>IF(IFERROR(VLOOKUP(Tabela1[[#This Row],[Novo_Avaliador]],Usuários!$A:$B,2,FALSE),"")="","",IFERROR(VLOOKUP(Tabela1[[#This Row],[Novo_Avaliador]],Usuários!$A:$B,2,FALSE),""))</f>
        <v>ellian.nunes@enind.com.br</v>
      </c>
      <c r="P66" t="str">
        <f>IF(Tabela1[[#This Row],[Novo_Avaliador]]=Tabela1[[#This Row],[Avaliador]],"Sim","Não")</f>
        <v>Sim</v>
      </c>
      <c r="Q66" t="b">
        <f>Tabela1[[#This Row],[email_repres]]=Tabela1[[#This Row],[e-mail novo avaliador]]</f>
        <v>1</v>
      </c>
    </row>
    <row r="67" spans="1:17" x14ac:dyDescent="0.25">
      <c r="A67" s="2" t="s">
        <v>109</v>
      </c>
      <c r="B67" s="2" t="s">
        <v>109</v>
      </c>
      <c r="C67" s="2" t="s">
        <v>110</v>
      </c>
      <c r="D67" s="2" t="s">
        <v>295</v>
      </c>
      <c r="E67" s="2" t="str">
        <f>VLOOKUP(Tabela1[[#This Row],[Avaliador]],Usuários!A:I,COLUMN($H$1),0)</f>
        <v>emerson.bonotto</v>
      </c>
      <c r="F67" s="2" t="str">
        <f>VLOOKUP(Tabela1[[#This Row],[Avaliador]],Usuários!$A:$I,COLUMN($I$1),0)</f>
        <v>645eb!@</v>
      </c>
      <c r="G67" s="2" t="str">
        <f>VLOOKUP(Tabela1[[#This Row],[Participante]],Usuários!$A:$I,COLUMN($H$1),0)</f>
        <v>emerson.bonotto</v>
      </c>
      <c r="H67" s="2" t="str">
        <f>VLOOKUP(Tabela1[[#This Row],[Participante]],Usuários!$A:$I,COLUMN($I$1),0)</f>
        <v>645eb!@</v>
      </c>
      <c r="I67" s="1" t="s">
        <v>6</v>
      </c>
      <c r="J67" s="1" t="s">
        <v>16</v>
      </c>
      <c r="K67" t="s">
        <v>110</v>
      </c>
      <c r="L67" t="s">
        <v>307</v>
      </c>
      <c r="M67" t="str">
        <f>IF(Tabela1[[#This Row],[Tipo_aval]]="auto","Ok",IF(ISERROR(VLOOKUP(Tabela1[[#This Row],[Participante]],Atualização!$B:$B,1,FALSE)),"Ok","Atualizar"))</f>
        <v>Ok</v>
      </c>
      <c r="N6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Emerson Bonotto</v>
      </c>
      <c r="O67" t="str">
        <f>IF(IFERROR(VLOOKUP(Tabela1[[#This Row],[Novo_Avaliador]],Usuários!$A:$B,2,FALSE),"")="","",IFERROR(VLOOKUP(Tabela1[[#This Row],[Novo_Avaliador]],Usuários!$A:$B,2,FALSE),""))</f>
        <v>emerson.bonotto@enind.com.br</v>
      </c>
      <c r="P67" t="str">
        <f>IF(Tabela1[[#This Row],[Novo_Avaliador]]=Tabela1[[#This Row],[Avaliador]],"Sim","Não")</f>
        <v>Sim</v>
      </c>
      <c r="Q67" t="b">
        <f>Tabela1[[#This Row],[email_repres]]=Tabela1[[#This Row],[e-mail novo avaliador]]</f>
        <v>1</v>
      </c>
    </row>
    <row r="68" spans="1:17" x14ac:dyDescent="0.25">
      <c r="A68" t="s">
        <v>330</v>
      </c>
      <c r="B68" t="s">
        <v>330</v>
      </c>
      <c r="C68" t="s">
        <v>429</v>
      </c>
      <c r="D68" t="s">
        <v>295</v>
      </c>
      <c r="E68" s="2" t="str">
        <f>VLOOKUP(Tabela1[[#This Row],[Avaliador]],Usuários!A:I,COLUMN($H$1),0)</f>
        <v>emerson.leo</v>
      </c>
      <c r="F68" s="2" t="str">
        <f>VLOOKUP(Tabela1[[#This Row],[Avaliador]],Usuários!$A:$I,COLUMN($I$1),0)</f>
        <v>714el!@</v>
      </c>
      <c r="G68" s="2" t="str">
        <f>VLOOKUP(Tabela1[[#This Row],[Participante]],Usuários!$A:$I,COLUMN($H$1),0)</f>
        <v>emerson.leo</v>
      </c>
      <c r="H68" s="2" t="str">
        <f>VLOOKUP(Tabela1[[#This Row],[Participante]],Usuários!$A:$I,COLUMN($I$1),0)</f>
        <v>714el!@</v>
      </c>
      <c r="I68" s="1" t="s">
        <v>6</v>
      </c>
      <c r="J68" s="1" t="s">
        <v>16</v>
      </c>
      <c r="K68" t="s">
        <v>429</v>
      </c>
      <c r="L68" t="s">
        <v>307</v>
      </c>
      <c r="M68" t="str">
        <f>IF(Tabela1[[#This Row],[Tipo_aval]]="auto","Ok",IF(ISERROR(VLOOKUP(Tabela1[[#This Row],[Participante]],Atualização!$B:$B,1,FALSE)),"Ok","Atualizar"))</f>
        <v>Ok</v>
      </c>
      <c r="N6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Emerson Marcelo Alves da Cunha de Leo</v>
      </c>
      <c r="O68" t="str">
        <f>IF(IFERROR(VLOOKUP(Tabela1[[#This Row],[Novo_Avaliador]],Usuários!$A:$B,2,FALSE),"")="","",IFERROR(VLOOKUP(Tabela1[[#This Row],[Novo_Avaliador]],Usuários!$A:$B,2,FALSE),""))</f>
        <v>emerson.leo@enindservicos.com.br</v>
      </c>
      <c r="P68" t="str">
        <f>IF(Tabela1[[#This Row],[Novo_Avaliador]]=Tabela1[[#This Row],[Avaliador]],"Sim","Não")</f>
        <v>Sim</v>
      </c>
      <c r="Q68" t="b">
        <f>Tabela1[[#This Row],[email_repres]]=Tabela1[[#This Row],[e-mail novo avaliador]]</f>
        <v>1</v>
      </c>
    </row>
    <row r="69" spans="1:17" x14ac:dyDescent="0.25">
      <c r="A69" s="2" t="s">
        <v>38</v>
      </c>
      <c r="B69" s="2" t="s">
        <v>112</v>
      </c>
      <c r="C69" s="6" t="s">
        <v>113</v>
      </c>
      <c r="D69" s="2" t="s">
        <v>297</v>
      </c>
      <c r="E69" s="2" t="str">
        <f>VLOOKUP(Tabela1[[#This Row],[Avaliador]],Usuários!A:I,COLUMN($H$1),0)</f>
        <v>evandro.idalgo</v>
      </c>
      <c r="F69" s="2" t="str">
        <f>VLOOKUP(Tabela1[[#This Row],[Avaliador]],Usuários!$A:$I,COLUMN($I$1),0)</f>
        <v>837ei!@</v>
      </c>
      <c r="G69" s="2" t="str">
        <f>VLOOKUP(Tabela1[[#This Row],[Participante]],Usuários!$A:$I,COLUMN($H$1),0)</f>
        <v>augusto.freitas</v>
      </c>
      <c r="H69" s="2" t="str">
        <f>VLOOKUP(Tabela1[[#This Row],[Participante]],Usuários!$A:$I,COLUMN($I$1),0)</f>
        <v>042af!@</v>
      </c>
      <c r="I69" s="1" t="s">
        <v>16</v>
      </c>
      <c r="J69" s="1" t="s">
        <v>16</v>
      </c>
      <c r="K69" t="s">
        <v>113</v>
      </c>
      <c r="L69" t="s">
        <v>309</v>
      </c>
      <c r="M69" t="str">
        <f>IF(Tabela1[[#This Row],[Tipo_aval]]="auto","Ok",IF(ISERROR(VLOOKUP(Tabela1[[#This Row],[Participante]],Atualização!$B:$B,1,FALSE)),"Ok","Atualizar"))</f>
        <v>Ok</v>
      </c>
      <c r="N6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69" t="str">
        <f>IF(IFERROR(VLOOKUP(Tabela1[[#This Row],[Novo_Avaliador]],Usuários!$A:$B,2,FALSE),"")="","",IFERROR(VLOOKUP(Tabela1[[#This Row],[Novo_Avaliador]],Usuários!$A:$B,2,FALSE),""))</f>
        <v>evandro.idalgo@enind.com.br</v>
      </c>
      <c r="P69" t="str">
        <f>IF(Tabela1[[#This Row],[Novo_Avaliador]]=Tabela1[[#This Row],[Avaliador]],"Sim","Não")</f>
        <v>Sim</v>
      </c>
      <c r="Q69" t="b">
        <f>Tabela1[[#This Row],[email_repres]]=Tabela1[[#This Row],[e-mail novo avaliador]]</f>
        <v>1</v>
      </c>
    </row>
    <row r="70" spans="1:17" x14ac:dyDescent="0.25">
      <c r="A70" s="2" t="s">
        <v>94</v>
      </c>
      <c r="B70" s="2" t="s">
        <v>112</v>
      </c>
      <c r="C70" s="2" t="s">
        <v>113</v>
      </c>
      <c r="D70" s="2" t="s">
        <v>297</v>
      </c>
      <c r="E70" s="2" t="str">
        <f>VLOOKUP(Tabela1[[#This Row],[Avaliador]],Usuários!A:I,COLUMN($H$1),0)</f>
        <v>evandro.idalgo</v>
      </c>
      <c r="F70" s="2" t="str">
        <f>VLOOKUP(Tabela1[[#This Row],[Avaliador]],Usuários!$A:$I,COLUMN($I$1),0)</f>
        <v>837ei!@</v>
      </c>
      <c r="G70" s="2" t="str">
        <f>VLOOKUP(Tabela1[[#This Row],[Participante]],Usuários!$A:$I,COLUMN($H$1),0)</f>
        <v>thiago.oliveira</v>
      </c>
      <c r="H70" s="2" t="str">
        <f>VLOOKUP(Tabela1[[#This Row],[Participante]],Usuários!$A:$I,COLUMN($I$1),0)</f>
        <v>891to!@</v>
      </c>
      <c r="I70" s="1" t="s">
        <v>16</v>
      </c>
      <c r="J70" s="1" t="s">
        <v>16</v>
      </c>
      <c r="K70" t="s">
        <v>113</v>
      </c>
      <c r="L70" t="s">
        <v>309</v>
      </c>
      <c r="M70" t="str">
        <f>IF(Tabela1[[#This Row],[Tipo_aval]]="auto","Ok",IF(ISERROR(VLOOKUP(Tabela1[[#This Row],[Participante]],Atualização!$B:$B,1,FALSE)),"Ok","Atualizar"))</f>
        <v>Atualizar</v>
      </c>
      <c r="N7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0" t="str">
        <f>IF(IFERROR(VLOOKUP(Tabela1[[#This Row],[Novo_Avaliador]],Usuários!$A:$B,2,FALSE),"")="","",IFERROR(VLOOKUP(Tabela1[[#This Row],[Novo_Avaliador]],Usuários!$A:$B,2,FALSE),""))</f>
        <v>evandro.idalgo@enind.com.br</v>
      </c>
      <c r="P70" t="str">
        <f>IF(Tabela1[[#This Row],[Novo_Avaliador]]=Tabela1[[#This Row],[Avaliador]],"Sim","Não")</f>
        <v>Sim</v>
      </c>
      <c r="Q70" t="b">
        <f>Tabela1[[#This Row],[email_repres]]=Tabela1[[#This Row],[e-mail novo avaliador]]</f>
        <v>1</v>
      </c>
    </row>
    <row r="71" spans="1:17" x14ac:dyDescent="0.25">
      <c r="A71" t="s">
        <v>15</v>
      </c>
      <c r="B71" t="s">
        <v>112</v>
      </c>
      <c r="C71" t="s">
        <v>113</v>
      </c>
      <c r="D71" t="s">
        <v>297</v>
      </c>
      <c r="E71" s="2" t="str">
        <f>VLOOKUP(Tabela1[[#This Row],[Avaliador]],Usuários!A:I,COLUMN($H$1),0)</f>
        <v>evandro.idalgo</v>
      </c>
      <c r="F71" s="2" t="str">
        <f>VLOOKUP(Tabela1[[#This Row],[Avaliador]],Usuários!$A:$I,COLUMN($I$1),0)</f>
        <v>837ei!@</v>
      </c>
      <c r="G71" s="2" t="str">
        <f>VLOOKUP(Tabela1[[#This Row],[Participante]],Usuários!$A:$I,COLUMN($H$1),0)</f>
        <v>welton.martins</v>
      </c>
      <c r="H71" s="2" t="str">
        <f>VLOOKUP(Tabela1[[#This Row],[Participante]],Usuários!$A:$I,COLUMN($I$1),0)</f>
        <v>965wm!@</v>
      </c>
      <c r="I71" s="1" t="s">
        <v>16</v>
      </c>
      <c r="J71" s="1" t="s">
        <v>16</v>
      </c>
      <c r="K71" t="s">
        <v>113</v>
      </c>
      <c r="L71" t="s">
        <v>309</v>
      </c>
      <c r="M71" t="str">
        <f>IF(Tabela1[[#This Row],[Tipo_aval]]="auto","Ok",IF(ISERROR(VLOOKUP(Tabela1[[#This Row],[Participante]],Atualização!$B:$B,1,FALSE)),"Ok","Atualizar"))</f>
        <v>Ok</v>
      </c>
      <c r="N7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1" t="str">
        <f>IF(IFERROR(VLOOKUP(Tabela1[[#This Row],[Novo_Avaliador]],Usuários!$A:$B,2,FALSE),"")="","",IFERROR(VLOOKUP(Tabela1[[#This Row],[Novo_Avaliador]],Usuários!$A:$B,2,FALSE),""))</f>
        <v>evandro.idalgo@enind.com.br</v>
      </c>
      <c r="P71" t="str">
        <f>IF(Tabela1[[#This Row],[Novo_Avaliador]]=Tabela1[[#This Row],[Avaliador]],"Sim","Não")</f>
        <v>Sim</v>
      </c>
      <c r="Q71" t="b">
        <f>Tabela1[[#This Row],[email_repres]]=Tabela1[[#This Row],[e-mail novo avaliador]]</f>
        <v>1</v>
      </c>
    </row>
    <row r="72" spans="1:17" x14ac:dyDescent="0.25">
      <c r="A72" t="s">
        <v>77</v>
      </c>
      <c r="B72" t="s">
        <v>112</v>
      </c>
      <c r="C72" t="s">
        <v>113</v>
      </c>
      <c r="D72" t="s">
        <v>297</v>
      </c>
      <c r="E72" s="2" t="str">
        <f>VLOOKUP(Tabela1[[#This Row],[Avaliador]],Usuários!A:I,COLUMN($H$1),0)</f>
        <v>evandro.idalgo</v>
      </c>
      <c r="F72" s="2" t="str">
        <f>VLOOKUP(Tabela1[[#This Row],[Avaliador]],Usuários!$A:$I,COLUMN($I$1),0)</f>
        <v>837ei!@</v>
      </c>
      <c r="G72" s="2" t="str">
        <f>VLOOKUP(Tabela1[[#This Row],[Participante]],Usuários!$A:$I,COLUMN($H$1),0)</f>
        <v>weslley.costa</v>
      </c>
      <c r="H72" s="2" t="str">
        <f>VLOOKUP(Tabela1[[#This Row],[Participante]],Usuários!$A:$I,COLUMN($I$1),0)</f>
        <v>370wc!@</v>
      </c>
      <c r="I72" s="1" t="s">
        <v>16</v>
      </c>
      <c r="J72" s="1" t="s">
        <v>16</v>
      </c>
      <c r="K72" t="s">
        <v>113</v>
      </c>
      <c r="L72" t="s">
        <v>309</v>
      </c>
      <c r="M72" t="str">
        <f>IF(Tabela1[[#This Row],[Tipo_aval]]="auto","Ok",IF(ISERROR(VLOOKUP(Tabela1[[#This Row],[Participante]],Atualização!$B:$B,1,FALSE)),"Ok","Atualizar"))</f>
        <v>Ok</v>
      </c>
      <c r="N7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2" t="str">
        <f>IF(IFERROR(VLOOKUP(Tabela1[[#This Row],[Novo_Avaliador]],Usuários!$A:$B,2,FALSE),"")="","",IFERROR(VLOOKUP(Tabela1[[#This Row],[Novo_Avaliador]],Usuários!$A:$B,2,FALSE),""))</f>
        <v>evandro.idalgo@enind.com.br</v>
      </c>
      <c r="P72" t="str">
        <f>IF(Tabela1[[#This Row],[Novo_Avaliador]]=Tabela1[[#This Row],[Avaliador]],"Sim","Não")</f>
        <v>Sim</v>
      </c>
      <c r="Q72" t="b">
        <f>Tabela1[[#This Row],[email_repres]]=Tabela1[[#This Row],[e-mail novo avaliador]]</f>
        <v>1</v>
      </c>
    </row>
    <row r="73" spans="1:17" x14ac:dyDescent="0.25">
      <c r="A73" s="2" t="s">
        <v>71</v>
      </c>
      <c r="B73" s="2" t="s">
        <v>112</v>
      </c>
      <c r="C73" s="2" t="s">
        <v>113</v>
      </c>
      <c r="D73" s="2" t="s">
        <v>297</v>
      </c>
      <c r="E73" s="2" t="str">
        <f>VLOOKUP(Tabela1[[#This Row],[Avaliador]],Usuários!A:I,COLUMN($H$1),0)</f>
        <v>evandro.idalgo</v>
      </c>
      <c r="F73" s="2" t="str">
        <f>VLOOKUP(Tabela1[[#This Row],[Avaliador]],Usuários!$A:$I,COLUMN($I$1),0)</f>
        <v>837ei!@</v>
      </c>
      <c r="G73" s="2" t="str">
        <f>VLOOKUP(Tabela1[[#This Row],[Participante]],Usuários!$A:$I,COLUMN($H$1),0)</f>
        <v>wilson.fernandes</v>
      </c>
      <c r="H73" s="2" t="str">
        <f>VLOOKUP(Tabela1[[#This Row],[Participante]],Usuários!$A:$I,COLUMN($I$1),0)</f>
        <v>571wf!@</v>
      </c>
      <c r="I73" s="1" t="s">
        <v>16</v>
      </c>
      <c r="J73" s="1" t="s">
        <v>16</v>
      </c>
      <c r="K73" t="s">
        <v>113</v>
      </c>
      <c r="L73" t="s">
        <v>309</v>
      </c>
      <c r="M73" t="str">
        <f>IF(Tabela1[[#This Row],[Tipo_aval]]="auto","Ok",IF(ISERROR(VLOOKUP(Tabela1[[#This Row],[Participante]],Atualização!$B:$B,1,FALSE)),"Ok","Atualizar"))</f>
        <v>Ok</v>
      </c>
      <c r="N7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3" t="str">
        <f>IF(IFERROR(VLOOKUP(Tabela1[[#This Row],[Novo_Avaliador]],Usuários!$A:$B,2,FALSE),"")="","",IFERROR(VLOOKUP(Tabela1[[#This Row],[Novo_Avaliador]],Usuários!$A:$B,2,FALSE),""))</f>
        <v>evandro.idalgo@enind.com.br</v>
      </c>
      <c r="P73" t="str">
        <f>IF(Tabela1[[#This Row],[Novo_Avaliador]]=Tabela1[[#This Row],[Avaliador]],"Sim","Não")</f>
        <v>Sim</v>
      </c>
      <c r="Q73" t="b">
        <f>Tabela1[[#This Row],[email_repres]]=Tabela1[[#This Row],[e-mail novo avaliador]]</f>
        <v>1</v>
      </c>
    </row>
    <row r="74" spans="1:17" x14ac:dyDescent="0.25">
      <c r="A74" s="2" t="s">
        <v>209</v>
      </c>
      <c r="B74" s="2" t="s">
        <v>112</v>
      </c>
      <c r="C74" s="2" t="s">
        <v>113</v>
      </c>
      <c r="D74" s="2" t="s">
        <v>303</v>
      </c>
      <c r="E74" s="2" t="str">
        <f>VLOOKUP(Tabela1[[#This Row],[Avaliador]],Usuários!A:I,COLUMN($H$1),0)</f>
        <v>evandro.idalgo</v>
      </c>
      <c r="F74" s="2" t="str">
        <f>VLOOKUP(Tabela1[[#This Row],[Avaliador]],Usuários!$A:$I,COLUMN($I$1),0)</f>
        <v>837ei!@</v>
      </c>
      <c r="G74" s="2" t="str">
        <f>VLOOKUP(Tabela1[[#This Row],[Participante]],Usuários!$A:$I,COLUMN($H$1),0)</f>
        <v>joaquim.souza</v>
      </c>
      <c r="H74" s="2" t="str">
        <f>VLOOKUP(Tabela1[[#This Row],[Participante]],Usuários!$A:$I,COLUMN($I$1),0)</f>
        <v>005js!@</v>
      </c>
      <c r="I74" s="1" t="s">
        <v>16</v>
      </c>
      <c r="J74" s="1" t="s">
        <v>16</v>
      </c>
      <c r="K74" t="s">
        <v>113</v>
      </c>
      <c r="L74" t="s">
        <v>309</v>
      </c>
      <c r="M74" t="str">
        <f>IF(Tabela1[[#This Row],[Tipo_aval]]="auto","Ok",IF(ISERROR(VLOOKUP(Tabela1[[#This Row],[Participante]],Atualização!$B:$B,1,FALSE)),"Ok","Atualizar"))</f>
        <v>Ok</v>
      </c>
      <c r="N7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4" t="str">
        <f>IF(IFERROR(VLOOKUP(Tabela1[[#This Row],[Novo_Avaliador]],Usuários!$A:$B,2,FALSE),"")="","",IFERROR(VLOOKUP(Tabela1[[#This Row],[Novo_Avaliador]],Usuários!$A:$B,2,FALSE),""))</f>
        <v>evandro.idalgo@enind.com.br</v>
      </c>
      <c r="P74" t="str">
        <f>IF(Tabela1[[#This Row],[Novo_Avaliador]]=Tabela1[[#This Row],[Avaliador]],"Sim","Não")</f>
        <v>Sim</v>
      </c>
      <c r="Q74" t="b">
        <f>Tabela1[[#This Row],[email_repres]]=Tabela1[[#This Row],[e-mail novo avaliador]]</f>
        <v>1</v>
      </c>
    </row>
    <row r="75" spans="1:17" x14ac:dyDescent="0.25">
      <c r="A75" t="s">
        <v>155</v>
      </c>
      <c r="B75" t="s">
        <v>112</v>
      </c>
      <c r="C75" t="s">
        <v>113</v>
      </c>
      <c r="D75" t="s">
        <v>303</v>
      </c>
      <c r="E75" s="2" t="str">
        <f>VLOOKUP(Tabela1[[#This Row],[Avaliador]],Usuários!A:I,COLUMN($H$1),0)</f>
        <v>evandro.idalgo</v>
      </c>
      <c r="F75" s="2" t="str">
        <f>VLOOKUP(Tabela1[[#This Row],[Avaliador]],Usuários!$A:$I,COLUMN($I$1),0)</f>
        <v>837ei!@</v>
      </c>
      <c r="G75" s="2" t="str">
        <f>VLOOKUP(Tabela1[[#This Row],[Participante]],Usuários!$A:$I,COLUMN($H$1),0)</f>
        <v>rafael.araujo</v>
      </c>
      <c r="H75" s="2" t="str">
        <f>VLOOKUP(Tabela1[[#This Row],[Participante]],Usuários!$A:$I,COLUMN($I$1),0)</f>
        <v>804ra!@</v>
      </c>
      <c r="I75" s="1" t="s">
        <v>16</v>
      </c>
      <c r="J75" s="1" t="s">
        <v>16</v>
      </c>
      <c r="K75" t="s">
        <v>113</v>
      </c>
      <c r="L75" t="s">
        <v>307</v>
      </c>
      <c r="M75" t="str">
        <f>IF(Tabela1[[#This Row],[Tipo_aval]]="auto","Ok",IF(ISERROR(VLOOKUP(Tabela1[[#This Row],[Participante]],Atualização!$B:$B,1,FALSE)),"Ok","Atualizar"))</f>
        <v>Ok</v>
      </c>
      <c r="N7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5" t="str">
        <f>IF(IFERROR(VLOOKUP(Tabela1[[#This Row],[Novo_Avaliador]],Usuários!$A:$B,2,FALSE),"")="","",IFERROR(VLOOKUP(Tabela1[[#This Row],[Novo_Avaliador]],Usuários!$A:$B,2,FALSE),""))</f>
        <v>evandro.idalgo@enind.com.br</v>
      </c>
      <c r="P75" t="str">
        <f>IF(Tabela1[[#This Row],[Novo_Avaliador]]=Tabela1[[#This Row],[Avaliador]],"Sim","Não")</f>
        <v>Sim</v>
      </c>
      <c r="Q75" t="b">
        <f>Tabela1[[#This Row],[email_repres]]=Tabela1[[#This Row],[e-mail novo avaliador]]</f>
        <v>1</v>
      </c>
    </row>
    <row r="76" spans="1:17" x14ac:dyDescent="0.25">
      <c r="A76" t="s">
        <v>272</v>
      </c>
      <c r="B76" t="s">
        <v>112</v>
      </c>
      <c r="C76" t="s">
        <v>113</v>
      </c>
      <c r="D76" t="s">
        <v>303</v>
      </c>
      <c r="E76" s="2" t="str">
        <f>VLOOKUP(Tabela1[[#This Row],[Avaliador]],Usuários!A:I,COLUMN($H$1),0)</f>
        <v>evandro.idalgo</v>
      </c>
      <c r="F76" s="2" t="str">
        <f>VLOOKUP(Tabela1[[#This Row],[Avaliador]],Usuários!$A:$I,COLUMN($I$1),0)</f>
        <v>837ei!@</v>
      </c>
      <c r="G76" s="2" t="str">
        <f>VLOOKUP(Tabela1[[#This Row],[Participante]],Usuários!$A:$I,COLUMN($H$1),0)</f>
        <v>wagner.ferreira</v>
      </c>
      <c r="H76" s="2" t="str">
        <f>VLOOKUP(Tabela1[[#This Row],[Participante]],Usuários!$A:$I,COLUMN($I$1),0)</f>
        <v>260wf!@</v>
      </c>
      <c r="I76" s="1" t="s">
        <v>16</v>
      </c>
      <c r="J76" s="1" t="s">
        <v>16</v>
      </c>
      <c r="K76" t="s">
        <v>113</v>
      </c>
      <c r="L76" t="s">
        <v>307</v>
      </c>
      <c r="M76" t="str">
        <f>IF(Tabela1[[#This Row],[Tipo_aval]]="auto","Ok",IF(ISERROR(VLOOKUP(Tabela1[[#This Row],[Participante]],Atualização!$B:$B,1,FALSE)),"Ok","Atualizar"))</f>
        <v>Ok</v>
      </c>
      <c r="N7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6" t="str">
        <f>IF(IFERROR(VLOOKUP(Tabela1[[#This Row],[Novo_Avaliador]],Usuários!$A:$B,2,FALSE),"")="","",IFERROR(VLOOKUP(Tabela1[[#This Row],[Novo_Avaliador]],Usuários!$A:$B,2,FALSE),""))</f>
        <v>evandro.idalgo@enind.com.br</v>
      </c>
      <c r="P76" t="str">
        <f>IF(Tabela1[[#This Row],[Novo_Avaliador]]=Tabela1[[#This Row],[Avaliador]],"Sim","Não")</f>
        <v>Sim</v>
      </c>
      <c r="Q76" t="b">
        <f>Tabela1[[#This Row],[email_repres]]=Tabela1[[#This Row],[e-mail novo avaliador]]</f>
        <v>1</v>
      </c>
    </row>
    <row r="77" spans="1:17" x14ac:dyDescent="0.25">
      <c r="A77" t="s">
        <v>325</v>
      </c>
      <c r="B77" t="s">
        <v>112</v>
      </c>
      <c r="C77" t="s">
        <v>113</v>
      </c>
      <c r="D77" t="s">
        <v>297</v>
      </c>
      <c r="E77" s="2" t="str">
        <f>VLOOKUP(Tabela1[[#This Row],[Avaliador]],Usuários!A:I,COLUMN($H$1),0)</f>
        <v>evandro.idalgo</v>
      </c>
      <c r="F77" s="2" t="str">
        <f>VLOOKUP(Tabela1[[#This Row],[Avaliador]],Usuários!$A:$I,COLUMN($I$1),0)</f>
        <v>837ei!@</v>
      </c>
      <c r="G77" s="2" t="str">
        <f>VLOOKUP(Tabela1[[#This Row],[Participante]],Usuários!$A:$I,COLUMN($H$1),0)</f>
        <v>bruno.lustosa</v>
      </c>
      <c r="H77" s="2" t="str">
        <f>VLOOKUP(Tabela1[[#This Row],[Participante]],Usuários!$A:$I,COLUMN($I$1),0)</f>
        <v>182bl!@</v>
      </c>
      <c r="I77" s="1" t="s">
        <v>16</v>
      </c>
      <c r="J77" s="1" t="s">
        <v>16</v>
      </c>
      <c r="K77" t="s">
        <v>113</v>
      </c>
      <c r="L77" t="s">
        <v>309</v>
      </c>
      <c r="M77" t="str">
        <f>IF(Tabela1[[#This Row],[Tipo_aval]]="auto","Ok",IF(ISERROR(VLOOKUP(Tabela1[[#This Row],[Participante]],Atualização!$B:$B,1,FALSE)),"Ok","Atualizar"))</f>
        <v>Ok</v>
      </c>
      <c r="N7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7" t="str">
        <f>IF(IFERROR(VLOOKUP(Tabela1[[#This Row],[Novo_Avaliador]],Usuários!$A:$B,2,FALSE),"")="","",IFERROR(VLOOKUP(Tabela1[[#This Row],[Novo_Avaliador]],Usuários!$A:$B,2,FALSE),""))</f>
        <v>evandro.idalgo@enind.com.br</v>
      </c>
      <c r="P77" t="str">
        <f>IF(Tabela1[[#This Row],[Novo_Avaliador]]=Tabela1[[#This Row],[Avaliador]],"Sim","Não")</f>
        <v>Sim</v>
      </c>
      <c r="Q77" t="b">
        <f>Tabela1[[#This Row],[email_repres]]=Tabela1[[#This Row],[e-mail novo avaliador]]</f>
        <v>1</v>
      </c>
    </row>
    <row r="78" spans="1:17" x14ac:dyDescent="0.25">
      <c r="A78" t="s">
        <v>327</v>
      </c>
      <c r="B78" t="s">
        <v>112</v>
      </c>
      <c r="C78" t="s">
        <v>113</v>
      </c>
      <c r="D78" t="s">
        <v>297</v>
      </c>
      <c r="E78" s="2" t="str">
        <f>VLOOKUP(Tabela1[[#This Row],[Avaliador]],Usuários!A:I,COLUMN($H$1),0)</f>
        <v>evandro.idalgo</v>
      </c>
      <c r="F78" s="2" t="str">
        <f>VLOOKUP(Tabela1[[#This Row],[Avaliador]],Usuários!$A:$I,COLUMN($I$1),0)</f>
        <v>837ei!@</v>
      </c>
      <c r="G78" s="2" t="str">
        <f>VLOOKUP(Tabela1[[#This Row],[Participante]],Usuários!$A:$I,COLUMN($H$1),0)</f>
        <v>daniel.casari</v>
      </c>
      <c r="H78" s="2" t="str">
        <f>VLOOKUP(Tabela1[[#This Row],[Participante]],Usuários!$A:$I,COLUMN($I$1),0)</f>
        <v>379dc!@</v>
      </c>
      <c r="I78" s="1" t="s">
        <v>16</v>
      </c>
      <c r="J78" s="1" t="s">
        <v>16</v>
      </c>
      <c r="K78" t="s">
        <v>113</v>
      </c>
      <c r="L78" t="s">
        <v>309</v>
      </c>
      <c r="M78" t="str">
        <f>IF(Tabela1[[#This Row],[Tipo_aval]]="auto","Ok",IF(ISERROR(VLOOKUP(Tabela1[[#This Row],[Participante]],Atualização!$B:$B,1,FALSE)),"Ok","Atualizar"))</f>
        <v>Ok</v>
      </c>
      <c r="N7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8" t="str">
        <f>IF(IFERROR(VLOOKUP(Tabela1[[#This Row],[Novo_Avaliador]],Usuários!$A:$B,2,FALSE),"")="","",IFERROR(VLOOKUP(Tabela1[[#This Row],[Novo_Avaliador]],Usuários!$A:$B,2,FALSE),""))</f>
        <v>evandro.idalgo@enind.com.br</v>
      </c>
      <c r="P78" t="str">
        <f>IF(Tabela1[[#This Row],[Novo_Avaliador]]=Tabela1[[#This Row],[Avaliador]],"Sim","Não")</f>
        <v>Sim</v>
      </c>
      <c r="Q78" t="b">
        <f>Tabela1[[#This Row],[email_repres]]=Tabela1[[#This Row],[e-mail novo avaliador]]</f>
        <v>1</v>
      </c>
    </row>
    <row r="79" spans="1:17" x14ac:dyDescent="0.25">
      <c r="A79" t="s">
        <v>319</v>
      </c>
      <c r="B79" t="s">
        <v>112</v>
      </c>
      <c r="C79" t="s">
        <v>113</v>
      </c>
      <c r="D79" t="s">
        <v>303</v>
      </c>
      <c r="E79" s="2" t="str">
        <f>VLOOKUP(Tabela1[[#This Row],[Avaliador]],Usuários!A:I,COLUMN($H$1),0)</f>
        <v>evandro.idalgo</v>
      </c>
      <c r="F79" s="2" t="str">
        <f>VLOOKUP(Tabela1[[#This Row],[Avaliador]],Usuários!$A:$I,COLUMN($I$1),0)</f>
        <v>837ei!@</v>
      </c>
      <c r="G79" s="2" t="str">
        <f>VLOOKUP(Tabela1[[#This Row],[Participante]],Usuários!$A:$I,COLUMN($H$1),0)</f>
        <v>andre.eusebio</v>
      </c>
      <c r="H79" s="2" t="str">
        <f>VLOOKUP(Tabela1[[#This Row],[Participante]],Usuários!$A:$I,COLUMN($I$1),0)</f>
        <v>179ae!@</v>
      </c>
      <c r="I79" s="1" t="s">
        <v>16</v>
      </c>
      <c r="J79" s="1" t="s">
        <v>16</v>
      </c>
      <c r="K79" t="s">
        <v>113</v>
      </c>
      <c r="L79" t="s">
        <v>307</v>
      </c>
      <c r="M79" t="str">
        <f>IF(Tabela1[[#This Row],[Tipo_aval]]="auto","Ok",IF(ISERROR(VLOOKUP(Tabela1[[#This Row],[Participante]],Atualização!$B:$B,1,FALSE)),"Ok","Atualizar"))</f>
        <v>Ok</v>
      </c>
      <c r="N7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79" t="str">
        <f>IF(IFERROR(VLOOKUP(Tabela1[[#This Row],[Novo_Avaliador]],Usuários!$A:$B,2,FALSE),"")="","",IFERROR(VLOOKUP(Tabela1[[#This Row],[Novo_Avaliador]],Usuários!$A:$B,2,FALSE),""))</f>
        <v>evandro.idalgo@enind.com.br</v>
      </c>
      <c r="P79" t="str">
        <f>IF(Tabela1[[#This Row],[Novo_Avaliador]]=Tabela1[[#This Row],[Avaliador]],"Sim","Não")</f>
        <v>Sim</v>
      </c>
      <c r="Q79" t="b">
        <f>Tabela1[[#This Row],[email_repres]]=Tabela1[[#This Row],[e-mail novo avaliador]]</f>
        <v>1</v>
      </c>
    </row>
    <row r="80" spans="1:17" x14ac:dyDescent="0.25">
      <c r="A80" s="2" t="s">
        <v>31</v>
      </c>
      <c r="B80" s="2" t="s">
        <v>112</v>
      </c>
      <c r="C80" s="2" t="s">
        <v>113</v>
      </c>
      <c r="D80" s="2" t="s">
        <v>297</v>
      </c>
      <c r="E80" s="2" t="str">
        <f>VLOOKUP(Tabela1[[#This Row],[Avaliador]],Usuários!A:I,COLUMN($H$1),0)</f>
        <v>evandro.idalgo</v>
      </c>
      <c r="F80" s="2" t="str">
        <f>VLOOKUP(Tabela1[[#This Row],[Avaliador]],Usuários!$A:$I,COLUMN($I$1),0)</f>
        <v>837ei!@</v>
      </c>
      <c r="G80" s="2" t="str">
        <f>VLOOKUP(Tabela1[[#This Row],[Participante]],Usuários!$A:$I,COLUMN($H$1),0)</f>
        <v>valeria.souza</v>
      </c>
      <c r="H80" s="2" t="str">
        <f>VLOOKUP(Tabela1[[#This Row],[Participante]],Usuários!$A:$I,COLUMN($I$1),0)</f>
        <v>110vs!@</v>
      </c>
      <c r="I80" s="1" t="s">
        <v>16</v>
      </c>
      <c r="J80" s="1" t="s">
        <v>16</v>
      </c>
      <c r="K80" t="str">
        <f>Tabela1[[#This Row],[Email]]</f>
        <v>evandro.idalgo@enind.com.br</v>
      </c>
      <c r="L80" t="s">
        <v>309</v>
      </c>
      <c r="M80" t="str">
        <f>IF(Tabela1[[#This Row],[Tipo_aval]]="auto","Ok",IF(ISERROR(VLOOKUP(Tabela1[[#This Row],[Participante]],Atualização!$B:$B,1,FALSE)),"Ok","Atualizar"))</f>
        <v>Atualizar</v>
      </c>
      <c r="N8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80" t="str">
        <f>IF(IFERROR(VLOOKUP(Tabela1[[#This Row],[Novo_Avaliador]],Usuários!$A:$B,2,FALSE),"")="","",IFERROR(VLOOKUP(Tabela1[[#This Row],[Novo_Avaliador]],Usuários!$A:$B,2,FALSE),""))</f>
        <v>evandro.idalgo@enind.com.br</v>
      </c>
      <c r="P80" t="str">
        <f>IF(Tabela1[[#This Row],[Novo_Avaliador]]=Tabela1[[#This Row],[Avaliador]],"Sim","Não")</f>
        <v>Sim</v>
      </c>
      <c r="Q80" t="b">
        <f>Tabela1[[#This Row],[email_repres]]=Tabela1[[#This Row],[e-mail novo avaliador]]</f>
        <v>1</v>
      </c>
    </row>
    <row r="81" spans="1:17" x14ac:dyDescent="0.25">
      <c r="A81" t="s">
        <v>274</v>
      </c>
      <c r="B81" t="s">
        <v>112</v>
      </c>
      <c r="C81" t="s">
        <v>113</v>
      </c>
      <c r="D81" t="s">
        <v>303</v>
      </c>
      <c r="E81" s="2" t="str">
        <f>VLOOKUP(Tabela1[[#This Row],[Avaliador]],Usuários!A:I,COLUMN($H$1),0)</f>
        <v>evandro.idalgo</v>
      </c>
      <c r="F81" s="2" t="str">
        <f>VLOOKUP(Tabela1[[#This Row],[Avaliador]],Usuários!$A:$I,COLUMN($I$1),0)</f>
        <v>837ei!@</v>
      </c>
      <c r="G81" s="2" t="str">
        <f>VLOOKUP(Tabela1[[#This Row],[Participante]],Usuários!$A:$I,COLUMN($H$1),0)</f>
        <v>thiago.rodrigues</v>
      </c>
      <c r="H81" s="2" t="str">
        <f>VLOOKUP(Tabela1[[#This Row],[Participante]],Usuários!$A:$I,COLUMN($I$1),0)</f>
        <v>722tr!@</v>
      </c>
      <c r="I81" s="1" t="s">
        <v>16</v>
      </c>
      <c r="J81" s="1" t="s">
        <v>16</v>
      </c>
      <c r="K81" t="str">
        <f>Tabela1[[#This Row],[Email]]</f>
        <v>evandro.idalgo@enind.com.br</v>
      </c>
      <c r="L81" t="s">
        <v>309</v>
      </c>
      <c r="M81" t="str">
        <f>IF(Tabela1[[#This Row],[Tipo_aval]]="auto","Ok",IF(ISERROR(VLOOKUP(Tabela1[[#This Row],[Participante]],Atualização!$B:$B,1,FALSE)),"Ok","Atualizar"))</f>
        <v>Atualizar</v>
      </c>
      <c r="N8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81" t="str">
        <f>IF(IFERROR(VLOOKUP(Tabela1[[#This Row],[Novo_Avaliador]],Usuários!$A:$B,2,FALSE),"")="","",IFERROR(VLOOKUP(Tabela1[[#This Row],[Novo_Avaliador]],Usuários!$A:$B,2,FALSE),""))</f>
        <v>evandro.idalgo@enind.com.br</v>
      </c>
      <c r="P81" t="str">
        <f>IF(Tabela1[[#This Row],[Novo_Avaliador]]=Tabela1[[#This Row],[Avaliador]],"Sim","Não")</f>
        <v>Sim</v>
      </c>
      <c r="Q81" t="b">
        <f>Tabela1[[#This Row],[email_repres]]=Tabela1[[#This Row],[e-mail novo avaliador]]</f>
        <v>1</v>
      </c>
    </row>
    <row r="82" spans="1:17" x14ac:dyDescent="0.25">
      <c r="A82" s="2" t="s">
        <v>117</v>
      </c>
      <c r="B82" s="2" t="s">
        <v>112</v>
      </c>
      <c r="C82" s="2" t="s">
        <v>113</v>
      </c>
      <c r="D82" s="2" t="s">
        <v>303</v>
      </c>
      <c r="E82" s="2" t="str">
        <f>VLOOKUP(Tabela1[[#This Row],[Avaliador]],Usuários!A:I,COLUMN($H$1),0)</f>
        <v>evandro.idalgo</v>
      </c>
      <c r="F82" s="2" t="str">
        <f>VLOOKUP(Tabela1[[#This Row],[Avaliador]],Usuários!$A:$I,COLUMN($I$1),0)</f>
        <v>837ei!@</v>
      </c>
      <c r="G82" s="2" t="str">
        <f>VLOOKUP(Tabela1[[#This Row],[Participante]],Usuários!$A:$I,COLUMN($H$1),0)</f>
        <v>guilherme.luis</v>
      </c>
      <c r="H82" s="2" t="str">
        <f>VLOOKUP(Tabela1[[#This Row],[Participante]],Usuários!$A:$I,COLUMN($I$1),0)</f>
        <v>038gl!@</v>
      </c>
      <c r="I82" s="1" t="s">
        <v>16</v>
      </c>
      <c r="J82" s="1" t="s">
        <v>16</v>
      </c>
      <c r="K82" t="str">
        <f>Tabela1[[#This Row],[Email]]</f>
        <v>evandro.idalgo@enind.com.br</v>
      </c>
      <c r="L82" t="s">
        <v>309</v>
      </c>
      <c r="M82" t="str">
        <f>IF(Tabela1[[#This Row],[Tipo_aval]]="auto","Ok",IF(ISERROR(VLOOKUP(Tabela1[[#This Row],[Participante]],Atualização!$B:$B,1,FALSE)),"Ok","Atualizar"))</f>
        <v>Atualizar</v>
      </c>
      <c r="N8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82" t="str">
        <f>IF(IFERROR(VLOOKUP(Tabela1[[#This Row],[Novo_Avaliador]],Usuários!$A:$B,2,FALSE),"")="","",IFERROR(VLOOKUP(Tabela1[[#This Row],[Novo_Avaliador]],Usuários!$A:$B,2,FALSE),""))</f>
        <v>evandro.idalgo@enind.com.br</v>
      </c>
      <c r="P82" t="str">
        <f>IF(Tabela1[[#This Row],[Novo_Avaliador]]=Tabela1[[#This Row],[Avaliador]],"Sim","Não")</f>
        <v>Sim</v>
      </c>
      <c r="Q82" t="b">
        <f>Tabela1[[#This Row],[email_repres]]=Tabela1[[#This Row],[e-mail novo avaliador]]</f>
        <v>1</v>
      </c>
    </row>
    <row r="83" spans="1:17" x14ac:dyDescent="0.25">
      <c r="A83" s="2" t="s">
        <v>52</v>
      </c>
      <c r="B83" s="2" t="s">
        <v>112</v>
      </c>
      <c r="C83" s="2" t="s">
        <v>113</v>
      </c>
      <c r="D83" s="2" t="s">
        <v>297</v>
      </c>
      <c r="E83" s="2" t="str">
        <f>VLOOKUP(Tabela1[[#This Row],[Avaliador]],Usuários!A:I,COLUMN($H$1),0)</f>
        <v>evandro.idalgo</v>
      </c>
      <c r="F83" s="2" t="str">
        <f>VLOOKUP(Tabela1[[#This Row],[Avaliador]],Usuários!$A:$I,COLUMN($I$1),0)</f>
        <v>837ei!@</v>
      </c>
      <c r="G83" s="2" t="str">
        <f>VLOOKUP(Tabela1[[#This Row],[Participante]],Usuários!$A:$I,COLUMN($H$1),0)</f>
        <v>thais.alves</v>
      </c>
      <c r="H83" s="2" t="str">
        <f>VLOOKUP(Tabela1[[#This Row],[Participante]],Usuários!$A:$I,COLUMN($I$1),0)</f>
        <v>751ta!@</v>
      </c>
      <c r="I83" s="1" t="s">
        <v>16</v>
      </c>
      <c r="J83" s="1" t="s">
        <v>16</v>
      </c>
      <c r="K83" t="str">
        <f>Tabela1[[#This Row],[Email]]</f>
        <v>evandro.idalgo@enind.com.br</v>
      </c>
      <c r="L83" t="s">
        <v>309</v>
      </c>
      <c r="M83" t="str">
        <f>IF(Tabela1[[#This Row],[Tipo_aval]]="auto","Ok",IF(ISERROR(VLOOKUP(Tabela1[[#This Row],[Participante]],Atualização!$B:$B,1,FALSE)),"Ok","Atualizar"))</f>
        <v>Atualizar</v>
      </c>
      <c r="N8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Evandro Luis Idalgo de Oliveira</v>
      </c>
      <c r="O83" t="str">
        <f>IF(IFERROR(VLOOKUP(Tabela1[[#This Row],[Novo_Avaliador]],Usuários!$A:$B,2,FALSE),"")="","",IFERROR(VLOOKUP(Tabela1[[#This Row],[Novo_Avaliador]],Usuários!$A:$B,2,FALSE),""))</f>
        <v>evandro.idalgo@enind.com.br</v>
      </c>
      <c r="P83" t="str">
        <f>IF(Tabela1[[#This Row],[Novo_Avaliador]]=Tabela1[[#This Row],[Avaliador]],"Sim","Não")</f>
        <v>Sim</v>
      </c>
      <c r="Q83" t="b">
        <f>Tabela1[[#This Row],[email_repres]]=Tabela1[[#This Row],[e-mail novo avaliador]]</f>
        <v>1</v>
      </c>
    </row>
    <row r="84" spans="1:17" x14ac:dyDescent="0.25">
      <c r="A84" s="2" t="s">
        <v>120</v>
      </c>
      <c r="B84" s="2" t="s">
        <v>120</v>
      </c>
      <c r="C84" s="2" t="s">
        <v>121</v>
      </c>
      <c r="D84" s="2" t="s">
        <v>295</v>
      </c>
      <c r="E84" s="2" t="str">
        <f>VLOOKUP(Tabela1[[#This Row],[Avaliador]],Usuários!A:I,COLUMN($H$1),0)</f>
        <v>everaldo.pontes</v>
      </c>
      <c r="F84" s="2" t="str">
        <f>VLOOKUP(Tabela1[[#This Row],[Avaliador]],Usuários!$A:$I,COLUMN($I$1),0)</f>
        <v>974ep!@</v>
      </c>
      <c r="G84" s="2" t="str">
        <f>VLOOKUP(Tabela1[[#This Row],[Participante]],Usuários!$A:$I,COLUMN($H$1),0)</f>
        <v>everaldo.pontes</v>
      </c>
      <c r="H84" s="2" t="str">
        <f>VLOOKUP(Tabela1[[#This Row],[Participante]],Usuários!$A:$I,COLUMN($I$1),0)</f>
        <v>974ep!@</v>
      </c>
      <c r="I84" s="1" t="s">
        <v>6</v>
      </c>
      <c r="J84" s="1" t="s">
        <v>16</v>
      </c>
      <c r="K84" t="s">
        <v>121</v>
      </c>
      <c r="L84" t="s">
        <v>307</v>
      </c>
      <c r="M84" t="str">
        <f>IF(Tabela1[[#This Row],[Tipo_aval]]="auto","Ok",IF(ISERROR(VLOOKUP(Tabela1[[#This Row],[Participante]],Atualização!$B:$B,1,FALSE)),"Ok","Atualizar"))</f>
        <v>Ok</v>
      </c>
      <c r="N8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Matias Pontes</v>
      </c>
      <c r="O84" t="str">
        <f>IF(IFERROR(VLOOKUP(Tabela1[[#This Row],[Novo_Avaliador]],Usuários!$A:$B,2,FALSE),"")="","",IFERROR(VLOOKUP(Tabela1[[#This Row],[Novo_Avaliador]],Usuários!$A:$B,2,FALSE),""))</f>
        <v>everaldo.pontes@enind.com.br</v>
      </c>
      <c r="P84" t="str">
        <f>IF(Tabela1[[#This Row],[Novo_Avaliador]]=Tabela1[[#This Row],[Avaliador]],"Sim","Não")</f>
        <v>Sim</v>
      </c>
      <c r="Q84" t="b">
        <f>Tabela1[[#This Row],[email_repres]]=Tabela1[[#This Row],[e-mail novo avaliador]]</f>
        <v>1</v>
      </c>
    </row>
    <row r="85" spans="1:17" x14ac:dyDescent="0.25">
      <c r="A85" s="2" t="s">
        <v>10</v>
      </c>
      <c r="B85" s="2" t="s">
        <v>10</v>
      </c>
      <c r="C85" s="2" t="s">
        <v>124</v>
      </c>
      <c r="D85" s="2" t="s">
        <v>295</v>
      </c>
      <c r="E85" s="2" t="str">
        <f>VLOOKUP(Tabela1[[#This Row],[Avaliador]],Usuários!A:I,COLUMN($H$1),0)</f>
        <v>everaldo.silva</v>
      </c>
      <c r="F85" s="2" t="str">
        <f>VLOOKUP(Tabela1[[#This Row],[Avaliador]],Usuários!$A:$I,COLUMN($I$1),0)</f>
        <v>157es!@</v>
      </c>
      <c r="G85" s="2" t="str">
        <f>VLOOKUP(Tabela1[[#This Row],[Participante]],Usuários!$A:$I,COLUMN($H$1),0)</f>
        <v>everaldo.silva</v>
      </c>
      <c r="H85" s="2" t="str">
        <f>VLOOKUP(Tabela1[[#This Row],[Participante]],Usuários!$A:$I,COLUMN($I$1),0)</f>
        <v>157es!@</v>
      </c>
      <c r="I85" s="1" t="s">
        <v>6</v>
      </c>
      <c r="J85" s="1" t="s">
        <v>16</v>
      </c>
      <c r="K85" t="s">
        <v>124</v>
      </c>
      <c r="L85" t="s">
        <v>309</v>
      </c>
      <c r="M85" t="str">
        <f>IF(Tabela1[[#This Row],[Tipo_aval]]="auto","Ok",IF(ISERROR(VLOOKUP(Tabela1[[#This Row],[Participante]],Atualização!$B:$B,1,FALSE)),"Ok","Atualizar"))</f>
        <v>Ok</v>
      </c>
      <c r="N8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85" t="str">
        <f>IF(IFERROR(VLOOKUP(Tabela1[[#This Row],[Novo_Avaliador]],Usuários!$A:$B,2,FALSE),"")="","",IFERROR(VLOOKUP(Tabela1[[#This Row],[Novo_Avaliador]],Usuários!$A:$B,2,FALSE),""))</f>
        <v>everaldo.silva@enind.com.br</v>
      </c>
      <c r="P85" t="str">
        <f>IF(Tabela1[[#This Row],[Novo_Avaliador]]=Tabela1[[#This Row],[Avaliador]],"Sim","Não")</f>
        <v>Sim</v>
      </c>
      <c r="Q85" t="b">
        <f>Tabela1[[#This Row],[email_repres]]=Tabela1[[#This Row],[e-mail novo avaliador]]</f>
        <v>1</v>
      </c>
    </row>
    <row r="86" spans="1:17" x14ac:dyDescent="0.25">
      <c r="A86" s="2" t="s">
        <v>126</v>
      </c>
      <c r="B86" s="2" t="s">
        <v>126</v>
      </c>
      <c r="C86" s="2" t="s">
        <v>430</v>
      </c>
      <c r="D86" s="2" t="s">
        <v>295</v>
      </c>
      <c r="E86" s="2" t="str">
        <f>VLOOKUP(Tabela1[[#This Row],[Avaliador]],Usuários!A:I,COLUMN($H$1),0)</f>
        <v>ewerton.siqueira</v>
      </c>
      <c r="F86" s="2" t="str">
        <f>VLOOKUP(Tabela1[[#This Row],[Avaliador]],Usuários!$A:$I,COLUMN($I$1),0)</f>
        <v>630es!@</v>
      </c>
      <c r="G86" s="2" t="str">
        <f>VLOOKUP(Tabela1[[#This Row],[Participante]],Usuários!$A:$I,COLUMN($H$1),0)</f>
        <v>ewerton.siqueira</v>
      </c>
      <c r="H86" s="2" t="str">
        <f>VLOOKUP(Tabela1[[#This Row],[Participante]],Usuários!$A:$I,COLUMN($I$1),0)</f>
        <v>630es!@</v>
      </c>
      <c r="I86" s="1" t="s">
        <v>16</v>
      </c>
      <c r="J86" s="1" t="s">
        <v>6</v>
      </c>
      <c r="K86" t="s">
        <v>430</v>
      </c>
      <c r="L86" t="s">
        <v>307</v>
      </c>
      <c r="M86" t="str">
        <f>IF(Tabela1[[#This Row],[Tipo_aval]]="auto","Ok",IF(ISERROR(VLOOKUP(Tabela1[[#This Row],[Participante]],Atualização!$B:$B,1,FALSE)),"Ok","Atualizar"))</f>
        <v>Ok</v>
      </c>
      <c r="N8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Ewerton Gomes de Siqueira</v>
      </c>
      <c r="O86" t="str">
        <f>IF(IFERROR(VLOOKUP(Tabela1[[#This Row],[Novo_Avaliador]],Usuários!$A:$B,2,FALSE),"")="","",IFERROR(VLOOKUP(Tabela1[[#This Row],[Novo_Avaliador]],Usuários!$A:$B,2,FALSE),""))</f>
        <v>ewerton.siqueira@enind.com.br</v>
      </c>
      <c r="P86" t="str">
        <f>IF(Tabela1[[#This Row],[Novo_Avaliador]]=Tabela1[[#This Row],[Avaliador]],"Sim","Não")</f>
        <v>Sim</v>
      </c>
      <c r="Q86" t="b">
        <f>Tabela1[[#This Row],[email_repres]]=Tabela1[[#This Row],[e-mail novo avaliador]]</f>
        <v>1</v>
      </c>
    </row>
    <row r="87" spans="1:17" x14ac:dyDescent="0.25">
      <c r="A87" s="2" t="s">
        <v>3</v>
      </c>
      <c r="B87" s="2" t="s">
        <v>10</v>
      </c>
      <c r="C87" s="2" t="s">
        <v>124</v>
      </c>
      <c r="D87" s="2" t="s">
        <v>297</v>
      </c>
      <c r="E87" s="2" t="str">
        <f>VLOOKUP(Tabela1[[#This Row],[Avaliador]],Usuários!A:I,COLUMN($H$1),0)</f>
        <v>everaldo.silva</v>
      </c>
      <c r="F87" s="2" t="str">
        <f>VLOOKUP(Tabela1[[#This Row],[Avaliador]],Usuários!$A:$I,COLUMN($I$1),0)</f>
        <v>157es!@</v>
      </c>
      <c r="G87" s="2" t="str">
        <f>VLOOKUP(Tabela1[[#This Row],[Participante]],Usuários!$A:$I,COLUMN($H$1),0)</f>
        <v>adenilson.castro</v>
      </c>
      <c r="H87" s="2" t="str">
        <f>VLOOKUP(Tabela1[[#This Row],[Participante]],Usuários!$A:$I,COLUMN($I$1),0)</f>
        <v>049ac!@</v>
      </c>
      <c r="I87" s="1" t="s">
        <v>16</v>
      </c>
      <c r="J87" s="1" t="s">
        <v>16</v>
      </c>
      <c r="K87" t="s">
        <v>124</v>
      </c>
      <c r="L87" t="s">
        <v>307</v>
      </c>
      <c r="M87" t="str">
        <f>IF(Tabela1[[#This Row],[Tipo_aval]]="auto","Ok",IF(ISERROR(VLOOKUP(Tabela1[[#This Row],[Participante]],Atualização!$B:$B,1,FALSE)),"Ok","Atualizar"))</f>
        <v>Ok</v>
      </c>
      <c r="N8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87" t="str">
        <f>IF(IFERROR(VLOOKUP(Tabela1[[#This Row],[Novo_Avaliador]],Usuários!$A:$B,2,FALSE),"")="","",IFERROR(VLOOKUP(Tabela1[[#This Row],[Novo_Avaliador]],Usuários!$A:$B,2,FALSE),""))</f>
        <v>everaldo.silva@enind.com.br</v>
      </c>
      <c r="P87" t="str">
        <f>IF(Tabela1[[#This Row],[Novo_Avaliador]]=Tabela1[[#This Row],[Avaliador]],"Sim","Não")</f>
        <v>Sim</v>
      </c>
      <c r="Q87" t="b">
        <f>Tabela1[[#This Row],[email_repres]]=Tabela1[[#This Row],[e-mail novo avaliador]]</f>
        <v>1</v>
      </c>
    </row>
    <row r="88" spans="1:17" x14ac:dyDescent="0.25">
      <c r="A88" t="s">
        <v>9</v>
      </c>
      <c r="B88" t="s">
        <v>10</v>
      </c>
      <c r="C88" t="s">
        <v>124</v>
      </c>
      <c r="D88" t="s">
        <v>297</v>
      </c>
      <c r="E88" s="2" t="str">
        <f>VLOOKUP(Tabela1[[#This Row],[Avaliador]],Usuários!A:I,COLUMN($H$1),0)</f>
        <v>everaldo.silva</v>
      </c>
      <c r="F88" s="2" t="str">
        <f>VLOOKUP(Tabela1[[#This Row],[Avaliador]],Usuários!$A:$I,COLUMN($I$1),0)</f>
        <v>157es!@</v>
      </c>
      <c r="G88" s="2" t="str">
        <f>VLOOKUP(Tabela1[[#This Row],[Participante]],Usuários!$A:$I,COLUMN($H$1),0)</f>
        <v>antonio.lima</v>
      </c>
      <c r="H88" s="2" t="str">
        <f>VLOOKUP(Tabela1[[#This Row],[Participante]],Usuários!$A:$I,COLUMN($I$1),0)</f>
        <v>034al!@</v>
      </c>
      <c r="I88" s="1" t="s">
        <v>6</v>
      </c>
      <c r="J88" s="1" t="s">
        <v>16</v>
      </c>
      <c r="K88" t="s">
        <v>124</v>
      </c>
      <c r="L88" t="s">
        <v>307</v>
      </c>
      <c r="M88" t="str">
        <f>IF(Tabela1[[#This Row],[Tipo_aval]]="auto","Ok",IF(ISERROR(VLOOKUP(Tabela1[[#This Row],[Participante]],Atualização!$B:$B,1,FALSE)),"Ok","Atualizar"))</f>
        <v>Ok</v>
      </c>
      <c r="N8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88" t="str">
        <f>IF(IFERROR(VLOOKUP(Tabela1[[#This Row],[Novo_Avaliador]],Usuários!$A:$B,2,FALSE),"")="","",IFERROR(VLOOKUP(Tabela1[[#This Row],[Novo_Avaliador]],Usuários!$A:$B,2,FALSE),""))</f>
        <v>everaldo.silva@enind.com.br</v>
      </c>
      <c r="P88" t="str">
        <f>IF(Tabela1[[#This Row],[Novo_Avaliador]]=Tabela1[[#This Row],[Avaliador]],"Sim","Não")</f>
        <v>Sim</v>
      </c>
      <c r="Q88" t="b">
        <f>Tabela1[[#This Row],[email_repres]]=Tabela1[[#This Row],[e-mail novo avaliador]]</f>
        <v>1</v>
      </c>
    </row>
    <row r="89" spans="1:17" x14ac:dyDescent="0.25">
      <c r="A89" s="2" t="s">
        <v>126</v>
      </c>
      <c r="B89" s="2" t="s">
        <v>10</v>
      </c>
      <c r="C89" s="2" t="s">
        <v>124</v>
      </c>
      <c r="D89" s="2" t="s">
        <v>297</v>
      </c>
      <c r="E89" s="2" t="str">
        <f>VLOOKUP(Tabela1[[#This Row],[Avaliador]],Usuários!A:I,COLUMN($H$1),0)</f>
        <v>everaldo.silva</v>
      </c>
      <c r="F89" s="2" t="str">
        <f>VLOOKUP(Tabela1[[#This Row],[Avaliador]],Usuários!$A:$I,COLUMN($I$1),0)</f>
        <v>157es!@</v>
      </c>
      <c r="G89" s="2" t="str">
        <f>VLOOKUP(Tabela1[[#This Row],[Participante]],Usuários!$A:$I,COLUMN($H$1),0)</f>
        <v>ewerton.siqueira</v>
      </c>
      <c r="H89" s="2" t="str">
        <f>VLOOKUP(Tabela1[[#This Row],[Participante]],Usuários!$A:$I,COLUMN($I$1),0)</f>
        <v>630es!@</v>
      </c>
      <c r="I89" s="1" t="s">
        <v>6</v>
      </c>
      <c r="J89" s="1" t="s">
        <v>16</v>
      </c>
      <c r="K89" t="s">
        <v>124</v>
      </c>
      <c r="L89" t="s">
        <v>307</v>
      </c>
      <c r="M89" t="str">
        <f>IF(Tabela1[[#This Row],[Tipo_aval]]="auto","Ok",IF(ISERROR(VLOOKUP(Tabela1[[#This Row],[Participante]],Atualização!$B:$B,1,FALSE)),"Ok","Atualizar"))</f>
        <v>Ok</v>
      </c>
      <c r="N8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89" t="str">
        <f>IF(IFERROR(VLOOKUP(Tabela1[[#This Row],[Novo_Avaliador]],Usuários!$A:$B,2,FALSE),"")="","",IFERROR(VLOOKUP(Tabela1[[#This Row],[Novo_Avaliador]],Usuários!$A:$B,2,FALSE),""))</f>
        <v>everaldo.silva@enind.com.br</v>
      </c>
      <c r="P89" t="str">
        <f>IF(Tabela1[[#This Row],[Novo_Avaliador]]=Tabela1[[#This Row],[Avaliador]],"Sim","Não")</f>
        <v>Sim</v>
      </c>
      <c r="Q89" t="b">
        <f>Tabela1[[#This Row],[email_repres]]=Tabela1[[#This Row],[e-mail novo avaliador]]</f>
        <v>1</v>
      </c>
    </row>
    <row r="90" spans="1:17" x14ac:dyDescent="0.25">
      <c r="A90" s="2" t="s">
        <v>72</v>
      </c>
      <c r="B90" s="2" t="s">
        <v>126</v>
      </c>
      <c r="C90" s="2" t="s">
        <v>430</v>
      </c>
      <c r="D90" s="2" t="s">
        <v>297</v>
      </c>
      <c r="E90" s="2" t="str">
        <f>VLOOKUP(Tabela1[[#This Row],[Avaliador]],Usuários!A:I,COLUMN($H$1),0)</f>
        <v>ewerton.siqueira</v>
      </c>
      <c r="F90" s="2" t="str">
        <f>VLOOKUP(Tabela1[[#This Row],[Avaliador]],Usuários!$A:$I,COLUMN($I$1),0)</f>
        <v>630es!@</v>
      </c>
      <c r="G90" s="2" t="str">
        <f>VLOOKUP(Tabela1[[#This Row],[Participante]],Usuários!$A:$I,COLUMN($H$1),0)</f>
        <v>izaias.santos</v>
      </c>
      <c r="H90" s="2" t="str">
        <f>VLOOKUP(Tabela1[[#This Row],[Participante]],Usuários!$A:$I,COLUMN($I$1),0)</f>
        <v>959is!@</v>
      </c>
      <c r="I90" s="1" t="s">
        <v>16</v>
      </c>
      <c r="J90" s="1" t="s">
        <v>16</v>
      </c>
      <c r="K90" t="s">
        <v>430</v>
      </c>
      <c r="L90" t="s">
        <v>308</v>
      </c>
      <c r="M90" t="str">
        <f>IF(Tabela1[[#This Row],[Tipo_aval]]="auto","Ok",IF(ISERROR(VLOOKUP(Tabela1[[#This Row],[Participante]],Atualização!$B:$B,1,FALSE)),"Ok","Atualizar"))</f>
        <v>Ok</v>
      </c>
      <c r="N9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Ewerton Gomes de Siqueira</v>
      </c>
      <c r="O90" t="str">
        <f>IF(IFERROR(VLOOKUP(Tabela1[[#This Row],[Novo_Avaliador]],Usuários!$A:$B,2,FALSE),"")="","",IFERROR(VLOOKUP(Tabela1[[#This Row],[Novo_Avaliador]],Usuários!$A:$B,2,FALSE),""))</f>
        <v>ewerton.siqueira@enind.com.br</v>
      </c>
      <c r="P90" t="str">
        <f>IF(Tabela1[[#This Row],[Novo_Avaliador]]=Tabela1[[#This Row],[Avaliador]],"Sim","Não")</f>
        <v>Sim</v>
      </c>
      <c r="Q90" t="b">
        <f>Tabela1[[#This Row],[email_repres]]=Tabela1[[#This Row],[e-mail novo avaliador]]</f>
        <v>1</v>
      </c>
    </row>
    <row r="91" spans="1:17" x14ac:dyDescent="0.25">
      <c r="A91" s="2" t="s">
        <v>76</v>
      </c>
      <c r="B91" s="2" t="s">
        <v>126</v>
      </c>
      <c r="C91" s="2" t="s">
        <v>430</v>
      </c>
      <c r="D91" s="2" t="s">
        <v>297</v>
      </c>
      <c r="E91" s="2" t="str">
        <f>VLOOKUP(Tabela1[[#This Row],[Avaliador]],Usuários!A:I,COLUMN($H$1),0)</f>
        <v>ewerton.siqueira</v>
      </c>
      <c r="F91" s="2" t="str">
        <f>VLOOKUP(Tabela1[[#This Row],[Avaliador]],Usuários!$A:$I,COLUMN($I$1),0)</f>
        <v>630es!@</v>
      </c>
      <c r="G91" s="2" t="str">
        <f>VLOOKUP(Tabela1[[#This Row],[Participante]],Usuários!$A:$I,COLUMN($H$1),0)</f>
        <v>jose.silva</v>
      </c>
      <c r="H91" s="2" t="str">
        <f>VLOOKUP(Tabela1[[#This Row],[Participante]],Usuários!$A:$I,COLUMN($I$1),0)</f>
        <v>153js!@</v>
      </c>
      <c r="I91" s="1" t="s">
        <v>16</v>
      </c>
      <c r="J91" s="1" t="s">
        <v>16</v>
      </c>
      <c r="K91" t="s">
        <v>430</v>
      </c>
      <c r="L91" t="s">
        <v>308</v>
      </c>
      <c r="M91" t="str">
        <f>IF(Tabela1[[#This Row],[Tipo_aval]]="auto","Ok",IF(ISERROR(VLOOKUP(Tabela1[[#This Row],[Participante]],Atualização!$B:$B,1,FALSE)),"Ok","Atualizar"))</f>
        <v>Ok</v>
      </c>
      <c r="N9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Ewerton Gomes de Siqueira</v>
      </c>
      <c r="O91" t="str">
        <f>IF(IFERROR(VLOOKUP(Tabela1[[#This Row],[Novo_Avaliador]],Usuários!$A:$B,2,FALSE),"")="","",IFERROR(VLOOKUP(Tabela1[[#This Row],[Novo_Avaliador]],Usuários!$A:$B,2,FALSE),""))</f>
        <v>ewerton.siqueira@enind.com.br</v>
      </c>
      <c r="P91" t="str">
        <f>IF(Tabela1[[#This Row],[Novo_Avaliador]]=Tabela1[[#This Row],[Avaliador]],"Sim","Não")</f>
        <v>Sim</v>
      </c>
      <c r="Q91" t="b">
        <f>Tabela1[[#This Row],[email_repres]]=Tabela1[[#This Row],[e-mail novo avaliador]]</f>
        <v>1</v>
      </c>
    </row>
    <row r="92" spans="1:17" x14ac:dyDescent="0.25">
      <c r="A92" t="s">
        <v>47</v>
      </c>
      <c r="B92" t="s">
        <v>10</v>
      </c>
      <c r="C92" t="s">
        <v>124</v>
      </c>
      <c r="D92" t="s">
        <v>297</v>
      </c>
      <c r="E92" s="2" t="str">
        <f>VLOOKUP(Tabela1[[#This Row],[Avaliador]],Usuários!A:I,COLUMN($H$1),0)</f>
        <v>everaldo.silva</v>
      </c>
      <c r="F92" s="2" t="str">
        <f>VLOOKUP(Tabela1[[#This Row],[Avaliador]],Usuários!$A:$I,COLUMN($I$1),0)</f>
        <v>157es!@</v>
      </c>
      <c r="G92" s="2" t="str">
        <f>VLOOKUP(Tabela1[[#This Row],[Participante]],Usuários!$A:$I,COLUMN($H$1),0)</f>
        <v>jose.paulo</v>
      </c>
      <c r="H92" s="2" t="str">
        <f>VLOOKUP(Tabela1[[#This Row],[Participante]],Usuários!$A:$I,COLUMN($I$1),0)</f>
        <v>673jp!@</v>
      </c>
      <c r="I92" s="1" t="s">
        <v>6</v>
      </c>
      <c r="J92" s="1" t="s">
        <v>16</v>
      </c>
      <c r="K92" t="s">
        <v>124</v>
      </c>
      <c r="L92" t="s">
        <v>308</v>
      </c>
      <c r="M92" t="str">
        <f>IF(Tabela1[[#This Row],[Tipo_aval]]="auto","Ok",IF(ISERROR(VLOOKUP(Tabela1[[#This Row],[Participante]],Atualização!$B:$B,1,FALSE)),"Ok","Atualizar"))</f>
        <v>Ok</v>
      </c>
      <c r="N9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92" t="str">
        <f>IF(IFERROR(VLOOKUP(Tabela1[[#This Row],[Novo_Avaliador]],Usuários!$A:$B,2,FALSE),"")="","",IFERROR(VLOOKUP(Tabela1[[#This Row],[Novo_Avaliador]],Usuários!$A:$B,2,FALSE),""))</f>
        <v>everaldo.silva@enind.com.br</v>
      </c>
      <c r="P92" t="str">
        <f>IF(Tabela1[[#This Row],[Novo_Avaliador]]=Tabela1[[#This Row],[Avaliador]],"Sim","Não")</f>
        <v>Sim</v>
      </c>
      <c r="Q92" t="b">
        <f>Tabela1[[#This Row],[email_repres]]=Tabela1[[#This Row],[e-mail novo avaliador]]</f>
        <v>1</v>
      </c>
    </row>
    <row r="93" spans="1:17" x14ac:dyDescent="0.25">
      <c r="A93" t="s">
        <v>78</v>
      </c>
      <c r="B93" t="s">
        <v>126</v>
      </c>
      <c r="C93" t="s">
        <v>430</v>
      </c>
      <c r="D93" t="s">
        <v>297</v>
      </c>
      <c r="E93" s="2" t="str">
        <f>VLOOKUP(Tabela1[[#This Row],[Avaliador]],Usuários!A:I,COLUMN($H$1),0)</f>
        <v>ewerton.siqueira</v>
      </c>
      <c r="F93" s="2" t="str">
        <f>VLOOKUP(Tabela1[[#This Row],[Avaliador]],Usuários!$A:$I,COLUMN($I$1),0)</f>
        <v>630es!@</v>
      </c>
      <c r="G93" s="2" t="str">
        <f>VLOOKUP(Tabela1[[#This Row],[Participante]],Usuários!$A:$I,COLUMN($H$1),0)</f>
        <v>jose.melo</v>
      </c>
      <c r="H93" s="2" t="str">
        <f>VLOOKUP(Tabela1[[#This Row],[Participante]],Usuários!$A:$I,COLUMN($I$1),0)</f>
        <v>455jm!@</v>
      </c>
      <c r="I93" s="1" t="s">
        <v>16</v>
      </c>
      <c r="J93" s="1" t="s">
        <v>16</v>
      </c>
      <c r="K93" t="s">
        <v>430</v>
      </c>
      <c r="L93" t="s">
        <v>308</v>
      </c>
      <c r="M93" t="str">
        <f>IF(Tabela1[[#This Row],[Tipo_aval]]="auto","Ok",IF(ISERROR(VLOOKUP(Tabela1[[#This Row],[Participante]],Atualização!$B:$B,1,FALSE)),"Ok","Atualizar"))</f>
        <v>Ok</v>
      </c>
      <c r="N9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Ewerton Gomes de Siqueira</v>
      </c>
      <c r="O93" t="str">
        <f>IF(IFERROR(VLOOKUP(Tabela1[[#This Row],[Novo_Avaliador]],Usuários!$A:$B,2,FALSE),"")="","",IFERROR(VLOOKUP(Tabela1[[#This Row],[Novo_Avaliador]],Usuários!$A:$B,2,FALSE),""))</f>
        <v>ewerton.siqueira@enind.com.br</v>
      </c>
      <c r="P93" t="str">
        <f>IF(Tabela1[[#This Row],[Novo_Avaliador]]=Tabela1[[#This Row],[Avaliador]],"Sim","Não")</f>
        <v>Sim</v>
      </c>
      <c r="Q93" t="b">
        <f>Tabela1[[#This Row],[email_repres]]=Tabela1[[#This Row],[e-mail novo avaliador]]</f>
        <v>1</v>
      </c>
    </row>
    <row r="94" spans="1:17" x14ac:dyDescent="0.25">
      <c r="A94" t="s">
        <v>82</v>
      </c>
      <c r="B94" t="s">
        <v>126</v>
      </c>
      <c r="C94" t="s">
        <v>430</v>
      </c>
      <c r="D94" t="s">
        <v>297</v>
      </c>
      <c r="E94" s="2" t="str">
        <f>VLOOKUP(Tabela1[[#This Row],[Avaliador]],Usuários!A:I,COLUMN($H$1),0)</f>
        <v>ewerton.siqueira</v>
      </c>
      <c r="F94" s="2" t="str">
        <f>VLOOKUP(Tabela1[[#This Row],[Avaliador]],Usuários!$A:$I,COLUMN($I$1),0)</f>
        <v>630es!@</v>
      </c>
      <c r="G94" s="2" t="str">
        <f>VLOOKUP(Tabela1[[#This Row],[Participante]],Usuários!$A:$I,COLUMN($H$1),0)</f>
        <v>jose.manoel</v>
      </c>
      <c r="H94" s="2" t="str">
        <f>VLOOKUP(Tabela1[[#This Row],[Participante]],Usuários!$A:$I,COLUMN($I$1),0)</f>
        <v>226jm!@</v>
      </c>
      <c r="I94" s="1" t="s">
        <v>16</v>
      </c>
      <c r="J94" s="1" t="s">
        <v>16</v>
      </c>
      <c r="K94" t="s">
        <v>430</v>
      </c>
      <c r="L94" t="s">
        <v>308</v>
      </c>
      <c r="M94" t="str">
        <f>IF(Tabela1[[#This Row],[Tipo_aval]]="auto","Ok",IF(ISERROR(VLOOKUP(Tabela1[[#This Row],[Participante]],Atualização!$B:$B,1,FALSE)),"Ok","Atualizar"))</f>
        <v>Ok</v>
      </c>
      <c r="N9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Ewerton Gomes de Siqueira</v>
      </c>
      <c r="O94" t="str">
        <f>IF(IFERROR(VLOOKUP(Tabela1[[#This Row],[Novo_Avaliador]],Usuários!$A:$B,2,FALSE),"")="","",IFERROR(VLOOKUP(Tabela1[[#This Row],[Novo_Avaliador]],Usuários!$A:$B,2,FALSE),""))</f>
        <v>ewerton.siqueira@enind.com.br</v>
      </c>
      <c r="P94" t="str">
        <f>IF(Tabela1[[#This Row],[Novo_Avaliador]]=Tabela1[[#This Row],[Avaliador]],"Sim","Não")</f>
        <v>Sim</v>
      </c>
      <c r="Q94" t="b">
        <f>Tabela1[[#This Row],[email_repres]]=Tabela1[[#This Row],[e-mail novo avaliador]]</f>
        <v>1</v>
      </c>
    </row>
    <row r="95" spans="1:17" x14ac:dyDescent="0.25">
      <c r="A95" s="2" t="s">
        <v>85</v>
      </c>
      <c r="B95" s="2" t="s">
        <v>126</v>
      </c>
      <c r="C95" s="2" t="s">
        <v>430</v>
      </c>
      <c r="D95" s="2" t="s">
        <v>297</v>
      </c>
      <c r="E95" s="2" t="str">
        <f>VLOOKUP(Tabela1[[#This Row],[Avaliador]],Usuários!A:I,COLUMN($H$1),0)</f>
        <v>ewerton.siqueira</v>
      </c>
      <c r="F95" s="2" t="str">
        <f>VLOOKUP(Tabela1[[#This Row],[Avaliador]],Usuários!$A:$I,COLUMN($I$1),0)</f>
        <v>630es!@</v>
      </c>
      <c r="G95" s="2" t="str">
        <f>VLOOKUP(Tabela1[[#This Row],[Participante]],Usuários!$A:$I,COLUMN($H$1),0)</f>
        <v>leonardo.santos</v>
      </c>
      <c r="H95" s="2" t="str">
        <f>VLOOKUP(Tabela1[[#This Row],[Participante]],Usuários!$A:$I,COLUMN($I$1),0)</f>
        <v>708ls!@</v>
      </c>
      <c r="I95" s="1" t="s">
        <v>16</v>
      </c>
      <c r="J95" s="1" t="s">
        <v>16</v>
      </c>
      <c r="K95" t="s">
        <v>430</v>
      </c>
      <c r="L95" t="s">
        <v>308</v>
      </c>
      <c r="M95" t="str">
        <f>IF(Tabela1[[#This Row],[Tipo_aval]]="auto","Ok",IF(ISERROR(VLOOKUP(Tabela1[[#This Row],[Participante]],Atualização!$B:$B,1,FALSE)),"Ok","Atualizar"))</f>
        <v>Ok</v>
      </c>
      <c r="N9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Ewerton Gomes de Siqueira</v>
      </c>
      <c r="O95" t="str">
        <f>IF(IFERROR(VLOOKUP(Tabela1[[#This Row],[Novo_Avaliador]],Usuários!$A:$B,2,FALSE),"")="","",IFERROR(VLOOKUP(Tabela1[[#This Row],[Novo_Avaliador]],Usuários!$A:$B,2,FALSE),""))</f>
        <v>ewerton.siqueira@enind.com.br</v>
      </c>
      <c r="P95" t="str">
        <f>IF(Tabela1[[#This Row],[Novo_Avaliador]]=Tabela1[[#This Row],[Avaliador]],"Sim","Não")</f>
        <v>Sim</v>
      </c>
      <c r="Q95" t="b">
        <f>Tabela1[[#This Row],[email_repres]]=Tabela1[[#This Row],[e-mail novo avaliador]]</f>
        <v>1</v>
      </c>
    </row>
    <row r="96" spans="1:17" x14ac:dyDescent="0.25">
      <c r="A96" t="s">
        <v>129</v>
      </c>
      <c r="B96" t="s">
        <v>10</v>
      </c>
      <c r="C96" t="s">
        <v>124</v>
      </c>
      <c r="D96" t="s">
        <v>297</v>
      </c>
      <c r="E96" s="2" t="str">
        <f>VLOOKUP(Tabela1[[#This Row],[Avaliador]],Usuários!A:I,COLUMN($H$1),0)</f>
        <v>everaldo.silva</v>
      </c>
      <c r="F96" s="2" t="str">
        <f>VLOOKUP(Tabela1[[#This Row],[Avaliador]],Usuários!$A:$I,COLUMN($I$1),0)</f>
        <v>157es!@</v>
      </c>
      <c r="G96" s="2" t="str">
        <f>VLOOKUP(Tabela1[[#This Row],[Participante]],Usuários!$A:$I,COLUMN($H$1),0)</f>
        <v>marcilio.silva</v>
      </c>
      <c r="H96" s="2" t="str">
        <f>VLOOKUP(Tabela1[[#This Row],[Participante]],Usuários!$A:$I,COLUMN($I$1),0)</f>
        <v>187ms!@</v>
      </c>
      <c r="I96" s="1" t="s">
        <v>6</v>
      </c>
      <c r="J96" s="1" t="s">
        <v>16</v>
      </c>
      <c r="K96" t="s">
        <v>124</v>
      </c>
      <c r="L96" t="s">
        <v>307</v>
      </c>
      <c r="M96" t="str">
        <f>IF(Tabela1[[#This Row],[Tipo_aval]]="auto","Ok",IF(ISERROR(VLOOKUP(Tabela1[[#This Row],[Participante]],Atualização!$B:$B,1,FALSE)),"Ok","Atualizar"))</f>
        <v>Ok</v>
      </c>
      <c r="N9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96" t="str">
        <f>IF(IFERROR(VLOOKUP(Tabela1[[#This Row],[Novo_Avaliador]],Usuários!$A:$B,2,FALSE),"")="","",IFERROR(VLOOKUP(Tabela1[[#This Row],[Novo_Avaliador]],Usuários!$A:$B,2,FALSE),""))</f>
        <v>everaldo.silva@enind.com.br</v>
      </c>
      <c r="P96" t="str">
        <f>IF(Tabela1[[#This Row],[Novo_Avaliador]]=Tabela1[[#This Row],[Avaliador]],"Sim","Não")</f>
        <v>Sim</v>
      </c>
      <c r="Q96" t="b">
        <f>Tabela1[[#This Row],[email_repres]]=Tabela1[[#This Row],[e-mail novo avaliador]]</f>
        <v>1</v>
      </c>
    </row>
    <row r="97" spans="1:17" x14ac:dyDescent="0.25">
      <c r="A97" t="s">
        <v>51</v>
      </c>
      <c r="B97" t="s">
        <v>10</v>
      </c>
      <c r="C97" t="s">
        <v>124</v>
      </c>
      <c r="D97" t="s">
        <v>297</v>
      </c>
      <c r="E97" s="2" t="str">
        <f>VLOOKUP(Tabela1[[#This Row],[Avaliador]],Usuários!A:I,COLUMN($H$1),0)</f>
        <v>everaldo.silva</v>
      </c>
      <c r="F97" s="2" t="str">
        <f>VLOOKUP(Tabela1[[#This Row],[Avaliador]],Usuários!$A:$I,COLUMN($I$1),0)</f>
        <v>157es!@</v>
      </c>
      <c r="G97" s="2" t="str">
        <f>VLOOKUP(Tabela1[[#This Row],[Participante]],Usuários!$A:$I,COLUMN($H$1),0)</f>
        <v>marcio.salomao</v>
      </c>
      <c r="H97" s="2" t="str">
        <f>VLOOKUP(Tabela1[[#This Row],[Participante]],Usuários!$A:$I,COLUMN($I$1),0)</f>
        <v>872ms!@</v>
      </c>
      <c r="I97" s="1" t="s">
        <v>6</v>
      </c>
      <c r="J97" s="1" t="s">
        <v>16</v>
      </c>
      <c r="K97" t="s">
        <v>124</v>
      </c>
      <c r="L97" t="s">
        <v>307</v>
      </c>
      <c r="M97" t="str">
        <f>IF(Tabela1[[#This Row],[Tipo_aval]]="auto","Ok",IF(ISERROR(VLOOKUP(Tabela1[[#This Row],[Participante]],Atualização!$B:$B,1,FALSE)),"Ok","Atualizar"))</f>
        <v>Ok</v>
      </c>
      <c r="N9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97" t="str">
        <f>IF(IFERROR(VLOOKUP(Tabela1[[#This Row],[Novo_Avaliador]],Usuários!$A:$B,2,FALSE),"")="","",IFERROR(VLOOKUP(Tabela1[[#This Row],[Novo_Avaliador]],Usuários!$A:$B,2,FALSE),""))</f>
        <v>everaldo.silva@enind.com.br</v>
      </c>
      <c r="P97" t="str">
        <f>IF(Tabela1[[#This Row],[Novo_Avaliador]]=Tabela1[[#This Row],[Avaliador]],"Sim","Não")</f>
        <v>Sim</v>
      </c>
      <c r="Q97" t="b">
        <f>Tabela1[[#This Row],[email_repres]]=Tabela1[[#This Row],[e-mail novo avaliador]]</f>
        <v>1</v>
      </c>
    </row>
    <row r="98" spans="1:17" x14ac:dyDescent="0.25">
      <c r="A98" t="s">
        <v>277</v>
      </c>
      <c r="B98" t="s">
        <v>10</v>
      </c>
      <c r="C98" t="s">
        <v>124</v>
      </c>
      <c r="D98" t="s">
        <v>297</v>
      </c>
      <c r="E98" s="2" t="str">
        <f>VLOOKUP(Tabela1[[#This Row],[Avaliador]],Usuários!A:I,COLUMN($H$1),0)</f>
        <v>everaldo.silva</v>
      </c>
      <c r="F98" s="2" t="str">
        <f>VLOOKUP(Tabela1[[#This Row],[Avaliador]],Usuários!$A:$I,COLUMN($I$1),0)</f>
        <v>157es!@</v>
      </c>
      <c r="G98" s="2" t="str">
        <f>VLOOKUP(Tabela1[[#This Row],[Participante]],Usuários!$A:$I,COLUMN($H$1),0)</f>
        <v>ubiara.batista</v>
      </c>
      <c r="H98" s="2" t="str">
        <f>VLOOKUP(Tabela1[[#This Row],[Participante]],Usuários!$A:$I,COLUMN($I$1),0)</f>
        <v>868ub!@</v>
      </c>
      <c r="I98" s="1" t="s">
        <v>16</v>
      </c>
      <c r="J98" s="1" t="s">
        <v>16</v>
      </c>
      <c r="K98" t="s">
        <v>124</v>
      </c>
      <c r="L98" t="s">
        <v>307</v>
      </c>
      <c r="M98" t="str">
        <f>IF(Tabela1[[#This Row],[Tipo_aval]]="auto","Ok",IF(ISERROR(VLOOKUP(Tabela1[[#This Row],[Participante]],Atualização!$B:$B,1,FALSE)),"Ok","Atualizar"))</f>
        <v>Ok</v>
      </c>
      <c r="N9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98" t="str">
        <f>IF(IFERROR(VLOOKUP(Tabela1[[#This Row],[Novo_Avaliador]],Usuários!$A:$B,2,FALSE),"")="","",IFERROR(VLOOKUP(Tabela1[[#This Row],[Novo_Avaliador]],Usuários!$A:$B,2,FALSE),""))</f>
        <v>everaldo.silva@enind.com.br</v>
      </c>
      <c r="P98" t="str">
        <f>IF(Tabela1[[#This Row],[Novo_Avaliador]]=Tabela1[[#This Row],[Avaliador]],"Sim","Não")</f>
        <v>Sim</v>
      </c>
      <c r="Q98" t="b">
        <f>Tabela1[[#This Row],[email_repres]]=Tabela1[[#This Row],[e-mail novo avaliador]]</f>
        <v>1</v>
      </c>
    </row>
    <row r="99" spans="1:17" x14ac:dyDescent="0.25">
      <c r="A99" s="2" t="s">
        <v>72</v>
      </c>
      <c r="B99" s="2" t="s">
        <v>10</v>
      </c>
      <c r="C99" s="2" t="s">
        <v>124</v>
      </c>
      <c r="D99" s="2" t="s">
        <v>303</v>
      </c>
      <c r="E99" s="2" t="str">
        <f>VLOOKUP(Tabela1[[#This Row],[Avaliador]],Usuários!A:I,COLUMN($H$1),0)</f>
        <v>everaldo.silva</v>
      </c>
      <c r="F99" s="2" t="str">
        <f>VLOOKUP(Tabela1[[#This Row],[Avaliador]],Usuários!$A:$I,COLUMN($I$1),0)</f>
        <v>157es!@</v>
      </c>
      <c r="G99" s="2" t="str">
        <f>VLOOKUP(Tabela1[[#This Row],[Participante]],Usuários!$A:$I,COLUMN($H$1),0)</f>
        <v>izaias.santos</v>
      </c>
      <c r="H99" s="2" t="str">
        <f>VLOOKUP(Tabela1[[#This Row],[Participante]],Usuários!$A:$I,COLUMN($I$1),0)</f>
        <v>959is!@</v>
      </c>
      <c r="I99" s="1" t="s">
        <v>6</v>
      </c>
      <c r="J99" s="1" t="s">
        <v>16</v>
      </c>
      <c r="K99" t="s">
        <v>124</v>
      </c>
      <c r="L99" t="s">
        <v>308</v>
      </c>
      <c r="M99" t="str">
        <f>IF(Tabela1[[#This Row],[Tipo_aval]]="auto","Ok",IF(ISERROR(VLOOKUP(Tabela1[[#This Row],[Participante]],Atualização!$B:$B,1,FALSE)),"Ok","Atualizar"))</f>
        <v>Ok</v>
      </c>
      <c r="N9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99" t="str">
        <f>IF(IFERROR(VLOOKUP(Tabela1[[#This Row],[Novo_Avaliador]],Usuários!$A:$B,2,FALSE),"")="","",IFERROR(VLOOKUP(Tabela1[[#This Row],[Novo_Avaliador]],Usuários!$A:$B,2,FALSE),""))</f>
        <v>everaldo.silva@enind.com.br</v>
      </c>
      <c r="P99" t="str">
        <f>IF(Tabela1[[#This Row],[Novo_Avaliador]]=Tabela1[[#This Row],[Avaliador]],"Sim","Não")</f>
        <v>Sim</v>
      </c>
      <c r="Q99" t="b">
        <f>Tabela1[[#This Row],[email_repres]]=Tabela1[[#This Row],[e-mail novo avaliador]]</f>
        <v>1</v>
      </c>
    </row>
    <row r="100" spans="1:17" x14ac:dyDescent="0.25">
      <c r="A100" t="s">
        <v>76</v>
      </c>
      <c r="B100" t="s">
        <v>10</v>
      </c>
      <c r="C100" t="s">
        <v>124</v>
      </c>
      <c r="D100" t="s">
        <v>303</v>
      </c>
      <c r="E100" s="2" t="str">
        <f>VLOOKUP(Tabela1[[#This Row],[Avaliador]],Usuários!A:I,COLUMN($H$1),0)</f>
        <v>everaldo.silva</v>
      </c>
      <c r="F100" s="2" t="str">
        <f>VLOOKUP(Tabela1[[#This Row],[Avaliador]],Usuários!$A:$I,COLUMN($I$1),0)</f>
        <v>157es!@</v>
      </c>
      <c r="G100" s="2" t="str">
        <f>VLOOKUP(Tabela1[[#This Row],[Participante]],Usuários!$A:$I,COLUMN($H$1),0)</f>
        <v>jose.silva</v>
      </c>
      <c r="H100" s="2" t="str">
        <f>VLOOKUP(Tabela1[[#This Row],[Participante]],Usuários!$A:$I,COLUMN($I$1),0)</f>
        <v>153js!@</v>
      </c>
      <c r="I100" s="1" t="s">
        <v>6</v>
      </c>
      <c r="J100" s="1" t="s">
        <v>16</v>
      </c>
      <c r="K100" t="s">
        <v>124</v>
      </c>
      <c r="L100" t="s">
        <v>308</v>
      </c>
      <c r="M100" t="str">
        <f>IF(Tabela1[[#This Row],[Tipo_aval]]="auto","Ok",IF(ISERROR(VLOOKUP(Tabela1[[#This Row],[Participante]],Atualização!$B:$B,1,FALSE)),"Ok","Atualizar"))</f>
        <v>Ok</v>
      </c>
      <c r="N10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100" t="str">
        <f>IF(IFERROR(VLOOKUP(Tabela1[[#This Row],[Novo_Avaliador]],Usuários!$A:$B,2,FALSE),"")="","",IFERROR(VLOOKUP(Tabela1[[#This Row],[Novo_Avaliador]],Usuários!$A:$B,2,FALSE),""))</f>
        <v>everaldo.silva@enind.com.br</v>
      </c>
      <c r="P100" t="str">
        <f>IF(Tabela1[[#This Row],[Novo_Avaliador]]=Tabela1[[#This Row],[Avaliador]],"Sim","Não")</f>
        <v>Sim</v>
      </c>
      <c r="Q100" t="b">
        <f>Tabela1[[#This Row],[email_repres]]=Tabela1[[#This Row],[e-mail novo avaliador]]</f>
        <v>1</v>
      </c>
    </row>
    <row r="101" spans="1:17" x14ac:dyDescent="0.25">
      <c r="A101" t="s">
        <v>78</v>
      </c>
      <c r="B101" t="s">
        <v>10</v>
      </c>
      <c r="C101" t="s">
        <v>124</v>
      </c>
      <c r="D101" t="s">
        <v>303</v>
      </c>
      <c r="E101" s="2" t="str">
        <f>VLOOKUP(Tabela1[[#This Row],[Avaliador]],Usuários!A:I,COLUMN($H$1),0)</f>
        <v>everaldo.silva</v>
      </c>
      <c r="F101" s="2" t="str">
        <f>VLOOKUP(Tabela1[[#This Row],[Avaliador]],Usuários!$A:$I,COLUMN($I$1),0)</f>
        <v>157es!@</v>
      </c>
      <c r="G101" s="2" t="str">
        <f>VLOOKUP(Tabela1[[#This Row],[Participante]],Usuários!$A:$I,COLUMN($H$1),0)</f>
        <v>jose.melo</v>
      </c>
      <c r="H101" s="2" t="str">
        <f>VLOOKUP(Tabela1[[#This Row],[Participante]],Usuários!$A:$I,COLUMN($I$1),0)</f>
        <v>455jm!@</v>
      </c>
      <c r="I101" s="1" t="s">
        <v>6</v>
      </c>
      <c r="J101" s="1" t="s">
        <v>16</v>
      </c>
      <c r="K101" t="s">
        <v>124</v>
      </c>
      <c r="L101" t="s">
        <v>308</v>
      </c>
      <c r="M101" t="str">
        <f>IF(Tabela1[[#This Row],[Tipo_aval]]="auto","Ok",IF(ISERROR(VLOOKUP(Tabela1[[#This Row],[Participante]],Atualização!$B:$B,1,FALSE)),"Ok","Atualizar"))</f>
        <v>Ok</v>
      </c>
      <c r="N10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101" t="str">
        <f>IF(IFERROR(VLOOKUP(Tabela1[[#This Row],[Novo_Avaliador]],Usuários!$A:$B,2,FALSE),"")="","",IFERROR(VLOOKUP(Tabela1[[#This Row],[Novo_Avaliador]],Usuários!$A:$B,2,FALSE),""))</f>
        <v>everaldo.silva@enind.com.br</v>
      </c>
      <c r="P101" t="str">
        <f>IF(Tabela1[[#This Row],[Novo_Avaliador]]=Tabela1[[#This Row],[Avaliador]],"Sim","Não")</f>
        <v>Sim</v>
      </c>
      <c r="Q101" t="b">
        <f>Tabela1[[#This Row],[email_repres]]=Tabela1[[#This Row],[e-mail novo avaliador]]</f>
        <v>1</v>
      </c>
    </row>
    <row r="102" spans="1:17" x14ac:dyDescent="0.25">
      <c r="A102" t="s">
        <v>82</v>
      </c>
      <c r="B102" t="s">
        <v>10</v>
      </c>
      <c r="C102" t="s">
        <v>124</v>
      </c>
      <c r="D102" t="s">
        <v>303</v>
      </c>
      <c r="E102" s="2" t="str">
        <f>VLOOKUP(Tabela1[[#This Row],[Avaliador]],Usuários!A:I,COLUMN($H$1),0)</f>
        <v>everaldo.silva</v>
      </c>
      <c r="F102" s="2" t="str">
        <f>VLOOKUP(Tabela1[[#This Row],[Avaliador]],Usuários!$A:$I,COLUMN($I$1),0)</f>
        <v>157es!@</v>
      </c>
      <c r="G102" s="2" t="str">
        <f>VLOOKUP(Tabela1[[#This Row],[Participante]],Usuários!$A:$I,COLUMN($H$1),0)</f>
        <v>jose.manoel</v>
      </c>
      <c r="H102" s="2" t="str">
        <f>VLOOKUP(Tabela1[[#This Row],[Participante]],Usuários!$A:$I,COLUMN($I$1),0)</f>
        <v>226jm!@</v>
      </c>
      <c r="I102" s="1" t="s">
        <v>6</v>
      </c>
      <c r="J102" s="1" t="s">
        <v>16</v>
      </c>
      <c r="K102" t="s">
        <v>124</v>
      </c>
      <c r="L102" t="s">
        <v>308</v>
      </c>
      <c r="M102" t="str">
        <f>IF(Tabela1[[#This Row],[Tipo_aval]]="auto","Ok",IF(ISERROR(VLOOKUP(Tabela1[[#This Row],[Participante]],Atualização!$B:$B,1,FALSE)),"Ok","Atualizar"))</f>
        <v>Ok</v>
      </c>
      <c r="N10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102" t="str">
        <f>IF(IFERROR(VLOOKUP(Tabela1[[#This Row],[Novo_Avaliador]],Usuários!$A:$B,2,FALSE),"")="","",IFERROR(VLOOKUP(Tabela1[[#This Row],[Novo_Avaliador]],Usuários!$A:$B,2,FALSE),""))</f>
        <v>everaldo.silva@enind.com.br</v>
      </c>
      <c r="P102" t="str">
        <f>IF(Tabela1[[#This Row],[Novo_Avaliador]]=Tabela1[[#This Row],[Avaliador]],"Sim","Não")</f>
        <v>Sim</v>
      </c>
      <c r="Q102" t="b">
        <f>Tabela1[[#This Row],[email_repres]]=Tabela1[[#This Row],[e-mail novo avaliador]]</f>
        <v>1</v>
      </c>
    </row>
    <row r="103" spans="1:17" x14ac:dyDescent="0.25">
      <c r="A103" t="s">
        <v>85</v>
      </c>
      <c r="B103" t="s">
        <v>10</v>
      </c>
      <c r="C103" t="s">
        <v>124</v>
      </c>
      <c r="D103" t="s">
        <v>303</v>
      </c>
      <c r="E103" s="2" t="str">
        <f>VLOOKUP(Tabela1[[#This Row],[Avaliador]],Usuários!A:I,COLUMN($H$1),0)</f>
        <v>everaldo.silva</v>
      </c>
      <c r="F103" s="2" t="str">
        <f>VLOOKUP(Tabela1[[#This Row],[Avaliador]],Usuários!$A:$I,COLUMN($I$1),0)</f>
        <v>157es!@</v>
      </c>
      <c r="G103" s="2" t="str">
        <f>VLOOKUP(Tabela1[[#This Row],[Participante]],Usuários!$A:$I,COLUMN($H$1),0)</f>
        <v>leonardo.santos</v>
      </c>
      <c r="H103" s="2" t="str">
        <f>VLOOKUP(Tabela1[[#This Row],[Participante]],Usuários!$A:$I,COLUMN($I$1),0)</f>
        <v>708ls!@</v>
      </c>
      <c r="I103" s="1" t="s">
        <v>6</v>
      </c>
      <c r="J103" s="1" t="s">
        <v>16</v>
      </c>
      <c r="K103" t="s">
        <v>124</v>
      </c>
      <c r="L103" t="s">
        <v>308</v>
      </c>
      <c r="M103" t="str">
        <f>IF(Tabela1[[#This Row],[Tipo_aval]]="auto","Ok",IF(ISERROR(VLOOKUP(Tabela1[[#This Row],[Participante]],Atualização!$B:$B,1,FALSE)),"Ok","Atualizar"))</f>
        <v>Ok</v>
      </c>
      <c r="N10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Everaldo Henrique da Silva Junior</v>
      </c>
      <c r="O103" t="str">
        <f>IF(IFERROR(VLOOKUP(Tabela1[[#This Row],[Novo_Avaliador]],Usuários!$A:$B,2,FALSE),"")="","",IFERROR(VLOOKUP(Tabela1[[#This Row],[Novo_Avaliador]],Usuários!$A:$B,2,FALSE),""))</f>
        <v>everaldo.silva@enind.com.br</v>
      </c>
      <c r="P103" t="str">
        <f>IF(Tabela1[[#This Row],[Novo_Avaliador]]=Tabela1[[#This Row],[Avaliador]],"Sim","Não")</f>
        <v>Sim</v>
      </c>
      <c r="Q103" t="b">
        <f>Tabela1[[#This Row],[email_repres]]=Tabela1[[#This Row],[e-mail novo avaliador]]</f>
        <v>1</v>
      </c>
    </row>
    <row r="104" spans="1:17" x14ac:dyDescent="0.25">
      <c r="A104" s="2" t="s">
        <v>18</v>
      </c>
      <c r="B104" s="2" t="s">
        <v>18</v>
      </c>
      <c r="C104" s="2" t="s">
        <v>138</v>
      </c>
      <c r="D104" s="2" t="s">
        <v>295</v>
      </c>
      <c r="E104" s="2" t="str">
        <f>VLOOKUP(Tabela1[[#This Row],[Avaliador]],Usuários!A:I,COLUMN($H$1),0)</f>
        <v>everton.bitencourt</v>
      </c>
      <c r="F104" s="2" t="str">
        <f>VLOOKUP(Tabela1[[#This Row],[Avaliador]],Usuários!$A:$I,COLUMN($I$1),0)</f>
        <v>566eb!@</v>
      </c>
      <c r="G104" s="2" t="str">
        <f>VLOOKUP(Tabela1[[#This Row],[Participante]],Usuários!$A:$I,COLUMN($H$1),0)</f>
        <v>everton.bitencourt</v>
      </c>
      <c r="H104" s="2" t="str">
        <f>VLOOKUP(Tabela1[[#This Row],[Participante]],Usuários!$A:$I,COLUMN($I$1),0)</f>
        <v>566eb!@</v>
      </c>
      <c r="I104" s="1" t="s">
        <v>6</v>
      </c>
      <c r="J104" s="1" t="s">
        <v>16</v>
      </c>
      <c r="K104" t="s">
        <v>138</v>
      </c>
      <c r="L104" t="s">
        <v>309</v>
      </c>
      <c r="M104" t="str">
        <f>IF(Tabela1[[#This Row],[Tipo_aval]]="auto","Ok",IF(ISERROR(VLOOKUP(Tabela1[[#This Row],[Participante]],Atualização!$B:$B,1,FALSE)),"Ok","Atualizar"))</f>
        <v>Ok</v>
      </c>
      <c r="N10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04" t="str">
        <f>IF(IFERROR(VLOOKUP(Tabela1[[#This Row],[Novo_Avaliador]],Usuários!$A:$B,2,FALSE),"")="","",IFERROR(VLOOKUP(Tabela1[[#This Row],[Novo_Avaliador]],Usuários!$A:$B,2,FALSE),""))</f>
        <v>everton.bitencourt@enind.com.br</v>
      </c>
      <c r="P104" t="str">
        <f>IF(Tabela1[[#This Row],[Novo_Avaliador]]=Tabela1[[#This Row],[Avaliador]],"Sim","Não")</f>
        <v>Sim</v>
      </c>
      <c r="Q104" t="b">
        <f>Tabela1[[#This Row],[email_repres]]=Tabela1[[#This Row],[e-mail novo avaliador]]</f>
        <v>1</v>
      </c>
    </row>
    <row r="105" spans="1:17" x14ac:dyDescent="0.25">
      <c r="A105" s="2" t="s">
        <v>27</v>
      </c>
      <c r="B105" s="2" t="s">
        <v>18</v>
      </c>
      <c r="C105" s="2" t="s">
        <v>138</v>
      </c>
      <c r="D105" s="2" t="s">
        <v>297</v>
      </c>
      <c r="E105" s="2" t="str">
        <f>VLOOKUP(Tabela1[[#This Row],[Avaliador]],Usuários!A:I,COLUMN($H$1),0)</f>
        <v>everton.bitencourt</v>
      </c>
      <c r="F105" s="2" t="str">
        <f>VLOOKUP(Tabela1[[#This Row],[Avaliador]],Usuários!$A:$I,COLUMN($I$1),0)</f>
        <v>566eb!@</v>
      </c>
      <c r="G105" s="2" t="str">
        <f>VLOOKUP(Tabela1[[#This Row],[Participante]],Usuários!$A:$I,COLUMN($H$1),0)</f>
        <v>alexandro.araujo</v>
      </c>
      <c r="H105" s="2" t="str">
        <f>VLOOKUP(Tabela1[[#This Row],[Participante]],Usuários!$A:$I,COLUMN($I$1),0)</f>
        <v>240aa!@</v>
      </c>
      <c r="I105" s="1" t="s">
        <v>16</v>
      </c>
      <c r="J105" s="1" t="s">
        <v>16</v>
      </c>
      <c r="K105" t="s">
        <v>138</v>
      </c>
      <c r="L105" t="s">
        <v>307</v>
      </c>
      <c r="M105" t="str">
        <f>IF(Tabela1[[#This Row],[Tipo_aval]]="auto","Ok",IF(ISERROR(VLOOKUP(Tabela1[[#This Row],[Participante]],Atualização!$B:$B,1,FALSE)),"Ok","Atualizar"))</f>
        <v>Ok</v>
      </c>
      <c r="N10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05" t="str">
        <f>IF(IFERROR(VLOOKUP(Tabela1[[#This Row],[Novo_Avaliador]],Usuários!$A:$B,2,FALSE),"")="","",IFERROR(VLOOKUP(Tabela1[[#This Row],[Novo_Avaliador]],Usuários!$A:$B,2,FALSE),""))</f>
        <v>everton.bitencourt@enind.com.br</v>
      </c>
      <c r="P105" t="str">
        <f>IF(Tabela1[[#This Row],[Novo_Avaliador]]=Tabela1[[#This Row],[Avaliador]],"Sim","Não")</f>
        <v>Sim</v>
      </c>
      <c r="Q105" t="b">
        <f>Tabela1[[#This Row],[email_repres]]=Tabela1[[#This Row],[e-mail novo avaliador]]</f>
        <v>1</v>
      </c>
    </row>
    <row r="106" spans="1:17" x14ac:dyDescent="0.25">
      <c r="A106" s="2" t="s">
        <v>17</v>
      </c>
      <c r="B106" s="2" t="s">
        <v>18</v>
      </c>
      <c r="C106" s="2" t="s">
        <v>138</v>
      </c>
      <c r="D106" s="2" t="s">
        <v>297</v>
      </c>
      <c r="E106" s="2" t="str">
        <f>VLOOKUP(Tabela1[[#This Row],[Avaliador]],Usuários!A:I,COLUMN($H$1),0)</f>
        <v>everton.bitencourt</v>
      </c>
      <c r="F106" s="2" t="str">
        <f>VLOOKUP(Tabela1[[#This Row],[Avaliador]],Usuários!$A:$I,COLUMN($I$1),0)</f>
        <v>566eb!@</v>
      </c>
      <c r="G106" s="2" t="str">
        <f>VLOOKUP(Tabela1[[#This Row],[Participante]],Usuários!$A:$I,COLUMN($H$1),0)</f>
        <v>damiao.souza</v>
      </c>
      <c r="H106" s="2" t="str">
        <f>VLOOKUP(Tabela1[[#This Row],[Participante]],Usuários!$A:$I,COLUMN($I$1),0)</f>
        <v>505ds!@</v>
      </c>
      <c r="I106" s="1" t="s">
        <v>6</v>
      </c>
      <c r="J106" s="1" t="s">
        <v>16</v>
      </c>
      <c r="K106" t="s">
        <v>138</v>
      </c>
      <c r="L106" t="s">
        <v>308</v>
      </c>
      <c r="M106" t="str">
        <f>IF(Tabela1[[#This Row],[Tipo_aval]]="auto","Ok",IF(ISERROR(VLOOKUP(Tabela1[[#This Row],[Participante]],Atualização!$B:$B,1,FALSE)),"Ok","Atualizar"))</f>
        <v>Ok</v>
      </c>
      <c r="N10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06" t="str">
        <f>IF(IFERROR(VLOOKUP(Tabela1[[#This Row],[Novo_Avaliador]],Usuários!$A:$B,2,FALSE),"")="","",IFERROR(VLOOKUP(Tabela1[[#This Row],[Novo_Avaliador]],Usuários!$A:$B,2,FALSE),""))</f>
        <v>everton.bitencourt@enind.com.br</v>
      </c>
      <c r="P106" t="str">
        <f>IF(Tabela1[[#This Row],[Novo_Avaliador]]=Tabela1[[#This Row],[Avaliador]],"Sim","Não")</f>
        <v>Sim</v>
      </c>
      <c r="Q106" t="b">
        <f>Tabela1[[#This Row],[email_repres]]=Tabela1[[#This Row],[e-mail novo avaliador]]</f>
        <v>1</v>
      </c>
    </row>
    <row r="107" spans="1:17" x14ac:dyDescent="0.25">
      <c r="A107" s="2" t="s">
        <v>141</v>
      </c>
      <c r="B107" s="2" t="s">
        <v>18</v>
      </c>
      <c r="C107" s="2" t="s">
        <v>138</v>
      </c>
      <c r="D107" s="2" t="s">
        <v>297</v>
      </c>
      <c r="E107" s="2" t="str">
        <f>VLOOKUP(Tabela1[[#This Row],[Avaliador]],Usuários!A:I,COLUMN($H$1),0)</f>
        <v>everton.bitencourt</v>
      </c>
      <c r="F107" s="2" t="str">
        <f>VLOOKUP(Tabela1[[#This Row],[Avaliador]],Usuários!$A:$I,COLUMN($I$1),0)</f>
        <v>566eb!@</v>
      </c>
      <c r="G107" s="2" t="str">
        <f>VLOOKUP(Tabela1[[#This Row],[Participante]],Usuários!$A:$I,COLUMN($H$1),0)</f>
        <v>elias.gomes</v>
      </c>
      <c r="H107" s="2" t="str">
        <f>VLOOKUP(Tabela1[[#This Row],[Participante]],Usuários!$A:$I,COLUMN($I$1),0)</f>
        <v>752eg!@</v>
      </c>
      <c r="I107" s="1" t="s">
        <v>6</v>
      </c>
      <c r="J107" s="1" t="s">
        <v>16</v>
      </c>
      <c r="K107" t="s">
        <v>138</v>
      </c>
      <c r="L107" t="s">
        <v>307</v>
      </c>
      <c r="M107" t="str">
        <f>IF(Tabela1[[#This Row],[Tipo_aval]]="auto","Ok",IF(ISERROR(VLOOKUP(Tabela1[[#This Row],[Participante]],Atualização!$B:$B,1,FALSE)),"Ok","Atualizar"))</f>
        <v>Ok</v>
      </c>
      <c r="N10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07" t="str">
        <f>IF(IFERROR(VLOOKUP(Tabela1[[#This Row],[Novo_Avaliador]],Usuários!$A:$B,2,FALSE),"")="","",IFERROR(VLOOKUP(Tabela1[[#This Row],[Novo_Avaliador]],Usuários!$A:$B,2,FALSE),""))</f>
        <v>everton.bitencourt@enind.com.br</v>
      </c>
      <c r="P107" t="str">
        <f>IF(Tabela1[[#This Row],[Novo_Avaliador]]=Tabela1[[#This Row],[Avaliador]],"Sim","Não")</f>
        <v>Sim</v>
      </c>
      <c r="Q107" t="b">
        <f>Tabela1[[#This Row],[email_repres]]=Tabela1[[#This Row],[e-mail novo avaliador]]</f>
        <v>1</v>
      </c>
    </row>
    <row r="108" spans="1:17" x14ac:dyDescent="0.25">
      <c r="A108" s="2" t="s">
        <v>41</v>
      </c>
      <c r="B108" s="2" t="s">
        <v>18</v>
      </c>
      <c r="C108" s="2" t="s">
        <v>138</v>
      </c>
      <c r="D108" s="2" t="s">
        <v>297</v>
      </c>
      <c r="E108" s="2" t="str">
        <f>VLOOKUP(Tabela1[[#This Row],[Avaliador]],Usuários!A:I,COLUMN($H$1),0)</f>
        <v>everton.bitencourt</v>
      </c>
      <c r="F108" s="2" t="str">
        <f>VLOOKUP(Tabela1[[#This Row],[Avaliador]],Usuários!$A:$I,COLUMN($I$1),0)</f>
        <v>566eb!@</v>
      </c>
      <c r="G108" s="2" t="str">
        <f>VLOOKUP(Tabela1[[#This Row],[Participante]],Usuários!$A:$I,COLUMN($H$1),0)</f>
        <v>esmael.ribeiro</v>
      </c>
      <c r="H108" s="2" t="str">
        <f>VLOOKUP(Tabela1[[#This Row],[Participante]],Usuários!$A:$I,COLUMN($I$1),0)</f>
        <v>882er!@</v>
      </c>
      <c r="I108" s="1" t="s">
        <v>6</v>
      </c>
      <c r="J108" s="1" t="s">
        <v>16</v>
      </c>
      <c r="K108" t="s">
        <v>138</v>
      </c>
      <c r="L108" t="s">
        <v>307</v>
      </c>
      <c r="M108" t="str">
        <f>IF(Tabela1[[#This Row],[Tipo_aval]]="auto","Ok",IF(ISERROR(VLOOKUP(Tabela1[[#This Row],[Participante]],Atualização!$B:$B,1,FALSE)),"Ok","Atualizar"))</f>
        <v>Ok</v>
      </c>
      <c r="N10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08" t="str">
        <f>IF(IFERROR(VLOOKUP(Tabela1[[#This Row],[Novo_Avaliador]],Usuários!$A:$B,2,FALSE),"")="","",IFERROR(VLOOKUP(Tabela1[[#This Row],[Novo_Avaliador]],Usuários!$A:$B,2,FALSE),""))</f>
        <v>everton.bitencourt@enind.com.br</v>
      </c>
      <c r="P108" t="str">
        <f>IF(Tabela1[[#This Row],[Novo_Avaliador]]=Tabela1[[#This Row],[Avaliador]],"Sim","Não")</f>
        <v>Sim</v>
      </c>
      <c r="Q108" t="b">
        <f>Tabela1[[#This Row],[email_repres]]=Tabela1[[#This Row],[e-mail novo avaliador]]</f>
        <v>1</v>
      </c>
    </row>
    <row r="109" spans="1:17" x14ac:dyDescent="0.25">
      <c r="A109" s="2" t="s">
        <v>144</v>
      </c>
      <c r="B109" s="2" t="s">
        <v>18</v>
      </c>
      <c r="C109" s="2" t="s">
        <v>138</v>
      </c>
      <c r="D109" s="2" t="s">
        <v>297</v>
      </c>
      <c r="E109" s="2" t="str">
        <f>VLOOKUP(Tabela1[[#This Row],[Avaliador]],Usuários!A:I,COLUMN($H$1),0)</f>
        <v>everton.bitencourt</v>
      </c>
      <c r="F109" s="2" t="str">
        <f>VLOOKUP(Tabela1[[#This Row],[Avaliador]],Usuários!$A:$I,COLUMN($I$1),0)</f>
        <v>566eb!@</v>
      </c>
      <c r="G109" s="2" t="str">
        <f>VLOOKUP(Tabela1[[#This Row],[Participante]],Usuários!$A:$I,COLUMN($H$1),0)</f>
        <v>fabio.oliveira</v>
      </c>
      <c r="H109" s="2" t="str">
        <f>VLOOKUP(Tabela1[[#This Row],[Participante]],Usuários!$A:$I,COLUMN($I$1),0)</f>
        <v>747fo!@</v>
      </c>
      <c r="I109" s="1" t="s">
        <v>6</v>
      </c>
      <c r="J109" s="1" t="s">
        <v>16</v>
      </c>
      <c r="K109" t="s">
        <v>138</v>
      </c>
      <c r="L109" t="s">
        <v>307</v>
      </c>
      <c r="M109" t="str">
        <f>IF(Tabela1[[#This Row],[Tipo_aval]]="auto","Ok",IF(ISERROR(VLOOKUP(Tabela1[[#This Row],[Participante]],Atualização!$B:$B,1,FALSE)),"Ok","Atualizar"))</f>
        <v>Ok</v>
      </c>
      <c r="N10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09" t="str">
        <f>IF(IFERROR(VLOOKUP(Tabela1[[#This Row],[Novo_Avaliador]],Usuários!$A:$B,2,FALSE),"")="","",IFERROR(VLOOKUP(Tabela1[[#This Row],[Novo_Avaliador]],Usuários!$A:$B,2,FALSE),""))</f>
        <v>everton.bitencourt@enind.com.br</v>
      </c>
      <c r="P109" t="str">
        <f>IF(Tabela1[[#This Row],[Novo_Avaliador]]=Tabela1[[#This Row],[Avaliador]],"Sim","Não")</f>
        <v>Sim</v>
      </c>
      <c r="Q109" t="b">
        <f>Tabela1[[#This Row],[email_repres]]=Tabela1[[#This Row],[e-mail novo avaliador]]</f>
        <v>1</v>
      </c>
    </row>
    <row r="110" spans="1:17" x14ac:dyDescent="0.25">
      <c r="A110" t="s">
        <v>58</v>
      </c>
      <c r="B110" t="s">
        <v>18</v>
      </c>
      <c r="C110" t="s">
        <v>138</v>
      </c>
      <c r="D110" t="s">
        <v>297</v>
      </c>
      <c r="E110" s="2" t="str">
        <f>VLOOKUP(Tabela1[[#This Row],[Avaliador]],Usuários!A:I,COLUMN($H$1),0)</f>
        <v>everton.bitencourt</v>
      </c>
      <c r="F110" s="2" t="str">
        <f>VLOOKUP(Tabela1[[#This Row],[Avaliador]],Usuários!$A:$I,COLUMN($I$1),0)</f>
        <v>566eb!@</v>
      </c>
      <c r="G110" s="2" t="str">
        <f>VLOOKUP(Tabela1[[#This Row],[Participante]],Usuários!$A:$I,COLUMN($H$1),0)</f>
        <v>romilson.silva</v>
      </c>
      <c r="H110" s="2" t="str">
        <f>VLOOKUP(Tabela1[[#This Row],[Participante]],Usuários!$A:$I,COLUMN($I$1),0)</f>
        <v>227rs!@</v>
      </c>
      <c r="I110" s="1" t="s">
        <v>6</v>
      </c>
      <c r="J110" s="1" t="s">
        <v>16</v>
      </c>
      <c r="K110" t="s">
        <v>138</v>
      </c>
      <c r="L110" t="s">
        <v>307</v>
      </c>
      <c r="M110" t="str">
        <f>IF(Tabela1[[#This Row],[Tipo_aval]]="auto","Ok",IF(ISERROR(VLOOKUP(Tabela1[[#This Row],[Participante]],Atualização!$B:$B,1,FALSE)),"Ok","Atualizar"))</f>
        <v>Ok</v>
      </c>
      <c r="N11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10" t="str">
        <f>IF(IFERROR(VLOOKUP(Tabela1[[#This Row],[Novo_Avaliador]],Usuários!$A:$B,2,FALSE),"")="","",IFERROR(VLOOKUP(Tabela1[[#This Row],[Novo_Avaliador]],Usuários!$A:$B,2,FALSE),""))</f>
        <v>everton.bitencourt@enind.com.br</v>
      </c>
      <c r="P110" t="str">
        <f>IF(Tabela1[[#This Row],[Novo_Avaliador]]=Tabela1[[#This Row],[Avaliador]],"Sim","Não")</f>
        <v>Sim</v>
      </c>
      <c r="Q110" t="b">
        <f>Tabela1[[#This Row],[email_repres]]=Tabela1[[#This Row],[e-mail novo avaliador]]</f>
        <v>1</v>
      </c>
    </row>
    <row r="111" spans="1:17" x14ac:dyDescent="0.25">
      <c r="A111" s="2" t="s">
        <v>193</v>
      </c>
      <c r="B111" s="2" t="s">
        <v>18</v>
      </c>
      <c r="C111" s="2" t="s">
        <v>138</v>
      </c>
      <c r="D111" s="2" t="s">
        <v>303</v>
      </c>
      <c r="E111" s="2" t="str">
        <f>VLOOKUP(Tabela1[[#This Row],[Avaliador]],Usuários!A:I,COLUMN($H$1),0)</f>
        <v>everton.bitencourt</v>
      </c>
      <c r="F111" s="2" t="str">
        <f>VLOOKUP(Tabela1[[#This Row],[Avaliador]],Usuários!$A:$I,COLUMN($I$1),0)</f>
        <v>566eb!@</v>
      </c>
      <c r="G111" s="2" t="str">
        <f>VLOOKUP(Tabela1[[#This Row],[Participante]],Usuários!$A:$I,COLUMN($H$1),0)</f>
        <v>italo.andrade</v>
      </c>
      <c r="H111" s="2" t="str">
        <f>VLOOKUP(Tabela1[[#This Row],[Participante]],Usuários!$A:$I,COLUMN($I$1),0)</f>
        <v>697ia!@</v>
      </c>
      <c r="I111" s="1" t="s">
        <v>16</v>
      </c>
      <c r="J111" s="1" t="s">
        <v>16</v>
      </c>
      <c r="K111" t="s">
        <v>138</v>
      </c>
      <c r="L111" t="s">
        <v>307</v>
      </c>
      <c r="M111" t="str">
        <f>IF(Tabela1[[#This Row],[Tipo_aval]]="auto","Ok",IF(ISERROR(VLOOKUP(Tabela1[[#This Row],[Participante]],Atualização!$B:$B,1,FALSE)),"Ok","Atualizar"))</f>
        <v>Ok</v>
      </c>
      <c r="N11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11" t="str">
        <f>IF(IFERROR(VLOOKUP(Tabela1[[#This Row],[Novo_Avaliador]],Usuários!$A:$B,2,FALSE),"")="","",IFERROR(VLOOKUP(Tabela1[[#This Row],[Novo_Avaliador]],Usuários!$A:$B,2,FALSE),""))</f>
        <v>everton.bitencourt@enind.com.br</v>
      </c>
      <c r="P111" t="str">
        <f>IF(Tabela1[[#This Row],[Novo_Avaliador]]=Tabela1[[#This Row],[Avaliador]],"Sim","Não")</f>
        <v>Sim</v>
      </c>
      <c r="Q111" t="b">
        <f>Tabela1[[#This Row],[email_repres]]=Tabela1[[#This Row],[e-mail novo avaliador]]</f>
        <v>1</v>
      </c>
    </row>
    <row r="112" spans="1:17" x14ac:dyDescent="0.25">
      <c r="A112" t="s">
        <v>251</v>
      </c>
      <c r="B112" t="s">
        <v>18</v>
      </c>
      <c r="C112" t="s">
        <v>138</v>
      </c>
      <c r="D112" t="s">
        <v>303</v>
      </c>
      <c r="E112" s="2" t="str">
        <f>VLOOKUP(Tabela1[[#This Row],[Avaliador]],Usuários!A:I,COLUMN($H$1),0)</f>
        <v>everton.bitencourt</v>
      </c>
      <c r="F112" s="2" t="str">
        <f>VLOOKUP(Tabela1[[#This Row],[Avaliador]],Usuários!$A:$I,COLUMN($I$1),0)</f>
        <v>566eb!@</v>
      </c>
      <c r="G112" s="2" t="str">
        <f>VLOOKUP(Tabela1[[#This Row],[Participante]],Usuários!$A:$I,COLUMN($H$1),0)</f>
        <v>renan.cunha</v>
      </c>
      <c r="H112" s="2" t="str">
        <f>VLOOKUP(Tabela1[[#This Row],[Participante]],Usuários!$A:$I,COLUMN($I$1),0)</f>
        <v>297rc!@</v>
      </c>
      <c r="I112" s="1" t="s">
        <v>16</v>
      </c>
      <c r="J112" s="1" t="s">
        <v>16</v>
      </c>
      <c r="K112" t="s">
        <v>138</v>
      </c>
      <c r="L112" t="s">
        <v>307</v>
      </c>
      <c r="M112" t="str">
        <f>IF(Tabela1[[#This Row],[Tipo_aval]]="auto","Ok",IF(ISERROR(VLOOKUP(Tabela1[[#This Row],[Participante]],Atualização!$B:$B,1,FALSE)),"Ok","Atualizar"))</f>
        <v>Ok</v>
      </c>
      <c r="N11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Everton Lisboa Bitencourt</v>
      </c>
      <c r="O112" t="str">
        <f>IF(IFERROR(VLOOKUP(Tabela1[[#This Row],[Novo_Avaliador]],Usuários!$A:$B,2,FALSE),"")="","",IFERROR(VLOOKUP(Tabela1[[#This Row],[Novo_Avaliador]],Usuários!$A:$B,2,FALSE),""))</f>
        <v>everton.bitencourt@enind.com.br</v>
      </c>
      <c r="P112" t="str">
        <f>IF(Tabela1[[#This Row],[Novo_Avaliador]]=Tabela1[[#This Row],[Avaliador]],"Sim","Não")</f>
        <v>Sim</v>
      </c>
      <c r="Q112" t="b">
        <f>Tabela1[[#This Row],[email_repres]]=Tabela1[[#This Row],[e-mail novo avaliador]]</f>
        <v>1</v>
      </c>
    </row>
    <row r="113" spans="1:17" x14ac:dyDescent="0.25">
      <c r="A113" t="s">
        <v>148</v>
      </c>
      <c r="B113" t="s">
        <v>148</v>
      </c>
      <c r="C113" t="s">
        <v>149</v>
      </c>
      <c r="D113" t="s">
        <v>295</v>
      </c>
      <c r="E113" s="2" t="str">
        <f>VLOOKUP(Tabela1[[#This Row],[Avaliador]],Usuários!A:I,COLUMN($H$1),0)</f>
        <v>fabiano.sousa</v>
      </c>
      <c r="F113" s="2" t="str">
        <f>VLOOKUP(Tabela1[[#This Row],[Avaliador]],Usuários!$A:$I,COLUMN($I$1),0)</f>
        <v>668fs!@</v>
      </c>
      <c r="G113" s="2" t="str">
        <f>VLOOKUP(Tabela1[[#This Row],[Participante]],Usuários!$A:$I,COLUMN($H$1),0)</f>
        <v>fabiano.sousa</v>
      </c>
      <c r="H113" s="2" t="str">
        <f>VLOOKUP(Tabela1[[#This Row],[Participante]],Usuários!$A:$I,COLUMN($I$1),0)</f>
        <v>668fs!@</v>
      </c>
      <c r="I113" s="1" t="s">
        <v>6</v>
      </c>
      <c r="J113" s="1" t="s">
        <v>16</v>
      </c>
      <c r="K113" t="s">
        <v>149</v>
      </c>
      <c r="L113" t="s">
        <v>307</v>
      </c>
      <c r="M113" t="str">
        <f>IF(Tabela1[[#This Row],[Tipo_aval]]="auto","Ok",IF(ISERROR(VLOOKUP(Tabela1[[#This Row],[Participante]],Atualização!$B:$B,1,FALSE)),"Ok","Atualizar"))</f>
        <v>Ok</v>
      </c>
      <c r="N11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Fabiano Brenno de Sousa</v>
      </c>
      <c r="O113" t="str">
        <f>IF(IFERROR(VLOOKUP(Tabela1[[#This Row],[Novo_Avaliador]],Usuários!$A:$B,2,FALSE),"")="","",IFERROR(VLOOKUP(Tabela1[[#This Row],[Novo_Avaliador]],Usuários!$A:$B,2,FALSE),""))</f>
        <v>fabiano.sousa@enind.com.br</v>
      </c>
      <c r="P113" t="str">
        <f>IF(Tabela1[[#This Row],[Novo_Avaliador]]=Tabela1[[#This Row],[Avaliador]],"Sim","Não")</f>
        <v>Sim</v>
      </c>
      <c r="Q113" t="b">
        <f>Tabela1[[#This Row],[email_repres]]=Tabela1[[#This Row],[e-mail novo avaliador]]</f>
        <v>1</v>
      </c>
    </row>
    <row r="114" spans="1:17" x14ac:dyDescent="0.25">
      <c r="A114" t="s">
        <v>151</v>
      </c>
      <c r="B114" t="s">
        <v>151</v>
      </c>
      <c r="C114" t="s">
        <v>152</v>
      </c>
      <c r="D114" t="s">
        <v>295</v>
      </c>
      <c r="E114" s="2" t="str">
        <f>VLOOKUP(Tabela1[[#This Row],[Avaliador]],Usuários!A:I,COLUMN($H$1),0)</f>
        <v>fabio.carelli</v>
      </c>
      <c r="F114" s="2" t="str">
        <f>VLOOKUP(Tabela1[[#This Row],[Avaliador]],Usuários!$A:$I,COLUMN($I$1),0)</f>
        <v>564fc!@</v>
      </c>
      <c r="G114" s="2" t="str">
        <f>VLOOKUP(Tabela1[[#This Row],[Participante]],Usuários!$A:$I,COLUMN($H$1),0)</f>
        <v>fabio.carelli</v>
      </c>
      <c r="H114" s="2" t="str">
        <f>VLOOKUP(Tabela1[[#This Row],[Participante]],Usuários!$A:$I,COLUMN($I$1),0)</f>
        <v>564fc!@</v>
      </c>
      <c r="I114" s="1" t="s">
        <v>6</v>
      </c>
      <c r="J114" s="1" t="s">
        <v>16</v>
      </c>
      <c r="K114" t="s">
        <v>152</v>
      </c>
      <c r="L114" t="s">
        <v>307</v>
      </c>
      <c r="M114" t="str">
        <f>IF(Tabela1[[#This Row],[Tipo_aval]]="auto","Ok",IF(ISERROR(VLOOKUP(Tabela1[[#This Row],[Participante]],Atualização!$B:$B,1,FALSE)),"Ok","Atualizar"))</f>
        <v>Ok</v>
      </c>
      <c r="N11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Fabio Bersi Carelli</v>
      </c>
      <c r="O114" t="str">
        <f>IF(IFERROR(VLOOKUP(Tabela1[[#This Row],[Novo_Avaliador]],Usuários!$A:$B,2,FALSE),"")="","",IFERROR(VLOOKUP(Tabela1[[#This Row],[Novo_Avaliador]],Usuários!$A:$B,2,FALSE),""))</f>
        <v>fabio.carelli@enind.com.br</v>
      </c>
      <c r="P114" t="str">
        <f>IF(Tabela1[[#This Row],[Novo_Avaliador]]=Tabela1[[#This Row],[Avaliador]],"Sim","Não")</f>
        <v>Sim</v>
      </c>
      <c r="Q114" t="b">
        <f>Tabela1[[#This Row],[email_repres]]=Tabela1[[#This Row],[e-mail novo avaliador]]</f>
        <v>1</v>
      </c>
    </row>
    <row r="115" spans="1:17" x14ac:dyDescent="0.25">
      <c r="A115" t="s">
        <v>167</v>
      </c>
      <c r="B115" t="s">
        <v>151</v>
      </c>
      <c r="C115" t="s">
        <v>152</v>
      </c>
      <c r="D115" t="s">
        <v>303</v>
      </c>
      <c r="E115" s="2" t="str">
        <f>VLOOKUP(Tabela1[[#This Row],[Avaliador]],Usuários!A:I,COLUMN($H$1),0)</f>
        <v>fabio.carelli</v>
      </c>
      <c r="F115" s="2" t="str">
        <f>VLOOKUP(Tabela1[[#This Row],[Avaliador]],Usuários!$A:$I,COLUMN($I$1),0)</f>
        <v>564fc!@</v>
      </c>
      <c r="G115" s="2" t="str">
        <f>VLOOKUP(Tabela1[[#This Row],[Participante]],Usuários!$A:$I,COLUMN($H$1),0)</f>
        <v>murilo.guidi</v>
      </c>
      <c r="H115" s="2" t="str">
        <f>VLOOKUP(Tabela1[[#This Row],[Participante]],Usuários!$A:$I,COLUMN($I$1),0)</f>
        <v>617mg!@</v>
      </c>
      <c r="I115" s="1" t="s">
        <v>16</v>
      </c>
      <c r="J115" s="1" t="s">
        <v>16</v>
      </c>
      <c r="K115" t="s">
        <v>152</v>
      </c>
      <c r="L115" t="s">
        <v>307</v>
      </c>
      <c r="M115" t="str">
        <f>IF(Tabela1[[#This Row],[Tipo_aval]]="auto","Ok",IF(ISERROR(VLOOKUP(Tabela1[[#This Row],[Participante]],Atualização!$B:$B,1,FALSE)),"Ok","Atualizar"))</f>
        <v>Ok</v>
      </c>
      <c r="N11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Fabio Bersi Carelli</v>
      </c>
      <c r="O115" t="str">
        <f>IF(IFERROR(VLOOKUP(Tabela1[[#This Row],[Novo_Avaliador]],Usuários!$A:$B,2,FALSE),"")="","",IFERROR(VLOOKUP(Tabela1[[#This Row],[Novo_Avaliador]],Usuários!$A:$B,2,FALSE),""))</f>
        <v>fabio.carelli@enind.com.br</v>
      </c>
      <c r="P115" t="str">
        <f>IF(Tabela1[[#This Row],[Novo_Avaliador]]=Tabela1[[#This Row],[Avaliador]],"Sim","Não")</f>
        <v>Sim</v>
      </c>
      <c r="Q115" t="b">
        <f>Tabela1[[#This Row],[email_repres]]=Tabela1[[#This Row],[e-mail novo avaliador]]</f>
        <v>1</v>
      </c>
    </row>
    <row r="116" spans="1:17" x14ac:dyDescent="0.25">
      <c r="A116" t="s">
        <v>324</v>
      </c>
      <c r="B116" t="s">
        <v>151</v>
      </c>
      <c r="C116" t="s">
        <v>152</v>
      </c>
      <c r="D116" t="s">
        <v>303</v>
      </c>
      <c r="E116" s="2" t="str">
        <f>VLOOKUP(Tabela1[[#This Row],[Avaliador]],Usuários!A:I,COLUMN($H$1),0)</f>
        <v>fabio.carelli</v>
      </c>
      <c r="F116" s="2" t="str">
        <f>VLOOKUP(Tabela1[[#This Row],[Avaliador]],Usuários!$A:$I,COLUMN($I$1),0)</f>
        <v>564fc!@</v>
      </c>
      <c r="G116" s="2" t="str">
        <f>VLOOKUP(Tabela1[[#This Row],[Participante]],Usuários!$A:$I,COLUMN($H$1),0)</f>
        <v>brendhel.silva</v>
      </c>
      <c r="H116" s="2" t="str">
        <f>VLOOKUP(Tabela1[[#This Row],[Participante]],Usuários!$A:$I,COLUMN($I$1),0)</f>
        <v>338bs!@</v>
      </c>
      <c r="I116" s="1" t="s">
        <v>16</v>
      </c>
      <c r="J116" s="1" t="s">
        <v>16</v>
      </c>
      <c r="K116" t="s">
        <v>152</v>
      </c>
      <c r="L116" t="s">
        <v>307</v>
      </c>
      <c r="M116" t="str">
        <f>IF(Tabela1[[#This Row],[Tipo_aval]]="auto","Ok",IF(ISERROR(VLOOKUP(Tabela1[[#This Row],[Participante]],Atualização!$B:$B,1,FALSE)),"Ok","Atualizar"))</f>
        <v>Ok</v>
      </c>
      <c r="N11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Fabio Bersi Carelli</v>
      </c>
      <c r="O116" t="str">
        <f>IF(IFERROR(VLOOKUP(Tabela1[[#This Row],[Novo_Avaliador]],Usuários!$A:$B,2,FALSE),"")="","",IFERROR(VLOOKUP(Tabela1[[#This Row],[Novo_Avaliador]],Usuários!$A:$B,2,FALSE),""))</f>
        <v>fabio.carelli@enind.com.br</v>
      </c>
      <c r="P116" t="str">
        <f>IF(Tabela1[[#This Row],[Novo_Avaliador]]=Tabela1[[#This Row],[Avaliador]],"Sim","Não")</f>
        <v>Sim</v>
      </c>
      <c r="Q116" t="b">
        <f>Tabela1[[#This Row],[email_repres]]=Tabela1[[#This Row],[e-mail novo avaliador]]</f>
        <v>1</v>
      </c>
    </row>
    <row r="117" spans="1:17" x14ac:dyDescent="0.25">
      <c r="A117" s="2" t="s">
        <v>151</v>
      </c>
      <c r="B117" s="2" t="s">
        <v>36</v>
      </c>
      <c r="C117" s="2" t="s">
        <v>154</v>
      </c>
      <c r="D117" s="2" t="s">
        <v>297</v>
      </c>
      <c r="E117" s="2" t="str">
        <f>VLOOKUP(Tabela1[[#This Row],[Avaliador]],Usuários!A:I,COLUMN($H$1),0)</f>
        <v>fabricio.bruschi</v>
      </c>
      <c r="F117" s="2" t="str">
        <f>VLOOKUP(Tabela1[[#This Row],[Avaliador]],Usuários!$A:$I,COLUMN($I$1),0)</f>
        <v>658fb!@</v>
      </c>
      <c r="G117" s="2" t="str">
        <f>VLOOKUP(Tabela1[[#This Row],[Participante]],Usuários!$A:$I,COLUMN($H$1),0)</f>
        <v>fabio.carelli</v>
      </c>
      <c r="H117" s="2" t="str">
        <f>VLOOKUP(Tabela1[[#This Row],[Participante]],Usuários!$A:$I,COLUMN($I$1),0)</f>
        <v>564fc!@</v>
      </c>
      <c r="I117" s="1" t="s">
        <v>16</v>
      </c>
      <c r="J117" s="1" t="s">
        <v>16</v>
      </c>
      <c r="K117" t="s">
        <v>154</v>
      </c>
      <c r="L117" t="s">
        <v>307</v>
      </c>
      <c r="M117" t="str">
        <f>IF(Tabela1[[#This Row],[Tipo_aval]]="auto","Ok",IF(ISERROR(VLOOKUP(Tabela1[[#This Row],[Participante]],Atualização!$B:$B,1,FALSE)),"Ok","Atualizar"))</f>
        <v>Ok</v>
      </c>
      <c r="N11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17" t="str">
        <f>IF(IFERROR(VLOOKUP(Tabela1[[#This Row],[Novo_Avaliador]],Usuários!$A:$B,2,FALSE),"")="","",IFERROR(VLOOKUP(Tabela1[[#This Row],[Novo_Avaliador]],Usuários!$A:$B,2,FALSE),""))</f>
        <v>fabricio.bruschi@enind.com.br</v>
      </c>
      <c r="P117" t="str">
        <f>IF(Tabela1[[#This Row],[Novo_Avaliador]]=Tabela1[[#This Row],[Avaliador]],"Sim","Não")</f>
        <v>Sim</v>
      </c>
      <c r="Q117" t="b">
        <f>Tabela1[[#This Row],[email_repres]]=Tabela1[[#This Row],[e-mail novo avaliador]]</f>
        <v>1</v>
      </c>
    </row>
    <row r="118" spans="1:17" x14ac:dyDescent="0.25">
      <c r="A118" s="2" t="s">
        <v>155</v>
      </c>
      <c r="B118" s="2" t="s">
        <v>36</v>
      </c>
      <c r="C118" s="2" t="s">
        <v>154</v>
      </c>
      <c r="D118" s="2" t="s">
        <v>297</v>
      </c>
      <c r="E118" s="2" t="str">
        <f>VLOOKUP(Tabela1[[#This Row],[Avaliador]],Usuários!A:I,COLUMN($H$1),0)</f>
        <v>fabricio.bruschi</v>
      </c>
      <c r="F118" s="2" t="str">
        <f>VLOOKUP(Tabela1[[#This Row],[Avaliador]],Usuários!$A:$I,COLUMN($I$1),0)</f>
        <v>658fb!@</v>
      </c>
      <c r="G118" s="2" t="str">
        <f>VLOOKUP(Tabela1[[#This Row],[Participante]],Usuários!$A:$I,COLUMN($H$1),0)</f>
        <v>rafael.araujo</v>
      </c>
      <c r="H118" s="2" t="str">
        <f>VLOOKUP(Tabela1[[#This Row],[Participante]],Usuários!$A:$I,COLUMN($I$1),0)</f>
        <v>804ra!@</v>
      </c>
      <c r="I118" s="1" t="s">
        <v>16</v>
      </c>
      <c r="J118" s="1" t="s">
        <v>16</v>
      </c>
      <c r="K118" t="s">
        <v>154</v>
      </c>
      <c r="L118" t="s">
        <v>307</v>
      </c>
      <c r="M118" t="str">
        <f>IF(Tabela1[[#This Row],[Tipo_aval]]="auto","Ok",IF(ISERROR(VLOOKUP(Tabela1[[#This Row],[Participante]],Atualização!$B:$B,1,FALSE)),"Ok","Atualizar"))</f>
        <v>Ok</v>
      </c>
      <c r="N11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18" t="str">
        <f>IF(IFERROR(VLOOKUP(Tabela1[[#This Row],[Novo_Avaliador]],Usuários!$A:$B,2,FALSE),"")="","",IFERROR(VLOOKUP(Tabela1[[#This Row],[Novo_Avaliador]],Usuários!$A:$B,2,FALSE),""))</f>
        <v>fabricio.bruschi@enind.com.br</v>
      </c>
      <c r="P118" t="str">
        <f>IF(Tabela1[[#This Row],[Novo_Avaliador]]=Tabela1[[#This Row],[Avaliador]],"Sim","Não")</f>
        <v>Sim</v>
      </c>
      <c r="Q118" t="b">
        <f>Tabela1[[#This Row],[email_repres]]=Tabela1[[#This Row],[e-mail novo avaliador]]</f>
        <v>1</v>
      </c>
    </row>
    <row r="119" spans="1:17" x14ac:dyDescent="0.25">
      <c r="A119" s="2" t="s">
        <v>33</v>
      </c>
      <c r="B119" s="2" t="s">
        <v>36</v>
      </c>
      <c r="C119" s="2" t="s">
        <v>154</v>
      </c>
      <c r="D119" s="2" t="s">
        <v>303</v>
      </c>
      <c r="E119" s="2" t="str">
        <f>VLOOKUP(Tabela1[[#This Row],[Avaliador]],Usuários!A:I,COLUMN($H$1),0)</f>
        <v>fabricio.bruschi</v>
      </c>
      <c r="F119" s="2" t="str">
        <f>VLOOKUP(Tabela1[[#This Row],[Avaliador]],Usuários!$A:$I,COLUMN($I$1),0)</f>
        <v>658fb!@</v>
      </c>
      <c r="G119" s="2" t="str">
        <f>VLOOKUP(Tabela1[[#This Row],[Participante]],Usuários!$A:$I,COLUMN($H$1),0)</f>
        <v>anderson.domingues</v>
      </c>
      <c r="H119" s="2" t="str">
        <f>VLOOKUP(Tabela1[[#This Row],[Participante]],Usuários!$A:$I,COLUMN($I$1),0)</f>
        <v>010ad!@</v>
      </c>
      <c r="I119" s="1" t="s">
        <v>16</v>
      </c>
      <c r="J119" s="1" t="s">
        <v>16</v>
      </c>
      <c r="K119" t="s">
        <v>154</v>
      </c>
      <c r="L119" t="s">
        <v>307</v>
      </c>
      <c r="M119" t="str">
        <f>IF(Tabela1[[#This Row],[Tipo_aval]]="auto","Ok",IF(ISERROR(VLOOKUP(Tabela1[[#This Row],[Participante]],Atualização!$B:$B,1,FALSE)),"Ok","Atualizar"))</f>
        <v>Ok</v>
      </c>
      <c r="N11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19" t="str">
        <f>IF(IFERROR(VLOOKUP(Tabela1[[#This Row],[Novo_Avaliador]],Usuários!$A:$B,2,FALSE),"")="","",IFERROR(VLOOKUP(Tabela1[[#This Row],[Novo_Avaliador]],Usuários!$A:$B,2,FALSE),""))</f>
        <v>fabricio.bruschi@enind.com.br</v>
      </c>
      <c r="P119" t="str">
        <f>IF(Tabela1[[#This Row],[Novo_Avaliador]]=Tabela1[[#This Row],[Avaliador]],"Sim","Não")</f>
        <v>Sim</v>
      </c>
      <c r="Q119" t="b">
        <f>Tabela1[[#This Row],[email_repres]]=Tabela1[[#This Row],[e-mail novo avaliador]]</f>
        <v>1</v>
      </c>
    </row>
    <row r="120" spans="1:17" x14ac:dyDescent="0.25">
      <c r="A120" s="2" t="s">
        <v>147</v>
      </c>
      <c r="B120" s="2" t="s">
        <v>36</v>
      </c>
      <c r="C120" s="2" t="s">
        <v>154</v>
      </c>
      <c r="D120" s="2" t="s">
        <v>303</v>
      </c>
      <c r="E120" s="2" t="str">
        <f>VLOOKUP(Tabela1[[#This Row],[Avaliador]],Usuários!A:I,COLUMN($H$1),0)</f>
        <v>fabricio.bruschi</v>
      </c>
      <c r="F120" s="2" t="str">
        <f>VLOOKUP(Tabela1[[#This Row],[Avaliador]],Usuários!$A:$I,COLUMN($I$1),0)</f>
        <v>658fb!@</v>
      </c>
      <c r="G120" s="2" t="str">
        <f>VLOOKUP(Tabela1[[#This Row],[Participante]],Usuários!$A:$I,COLUMN($H$1),0)</f>
        <v>fernando.correa</v>
      </c>
      <c r="H120" s="2" t="str">
        <f>VLOOKUP(Tabela1[[#This Row],[Participante]],Usuários!$A:$I,COLUMN($I$1),0)</f>
        <v>968fc!@</v>
      </c>
      <c r="I120" s="1" t="s">
        <v>16</v>
      </c>
      <c r="J120" s="1" t="s">
        <v>16</v>
      </c>
      <c r="K120" t="s">
        <v>154</v>
      </c>
      <c r="L120" t="s">
        <v>309</v>
      </c>
      <c r="M120" t="str">
        <f>IF(Tabela1[[#This Row],[Tipo_aval]]="auto","Ok",IF(ISERROR(VLOOKUP(Tabela1[[#This Row],[Participante]],Atualização!$B:$B,1,FALSE)),"Ok","Atualizar"))</f>
        <v>Ok</v>
      </c>
      <c r="N12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20" t="str">
        <f>IF(IFERROR(VLOOKUP(Tabela1[[#This Row],[Novo_Avaliador]],Usuários!$A:$B,2,FALSE),"")="","",IFERROR(VLOOKUP(Tabela1[[#This Row],[Novo_Avaliador]],Usuários!$A:$B,2,FALSE),""))</f>
        <v>fabricio.bruschi@enind.com.br</v>
      </c>
      <c r="P120" t="str">
        <f>IF(Tabela1[[#This Row],[Novo_Avaliador]]=Tabela1[[#This Row],[Avaliador]],"Sim","Não")</f>
        <v>Sim</v>
      </c>
      <c r="Q120" t="b">
        <f>Tabela1[[#This Row],[email_repres]]=Tabela1[[#This Row],[e-mail novo avaliador]]</f>
        <v>1</v>
      </c>
    </row>
    <row r="121" spans="1:17" x14ac:dyDescent="0.25">
      <c r="A121" s="2" t="s">
        <v>169</v>
      </c>
      <c r="B121" s="2" t="s">
        <v>36</v>
      </c>
      <c r="C121" s="2" t="s">
        <v>154</v>
      </c>
      <c r="D121" s="2" t="s">
        <v>303</v>
      </c>
      <c r="E121" s="2" t="str">
        <f>VLOOKUP(Tabela1[[#This Row],[Avaliador]],Usuários!A:I,COLUMN($H$1),0)</f>
        <v>fabricio.bruschi</v>
      </c>
      <c r="F121" s="2" t="str">
        <f>VLOOKUP(Tabela1[[#This Row],[Avaliador]],Usuários!$A:$I,COLUMN($I$1),0)</f>
        <v>658fb!@</v>
      </c>
      <c r="G121" s="2" t="str">
        <f>VLOOKUP(Tabela1[[#This Row],[Participante]],Usuários!$A:$I,COLUMN($H$1),0)</f>
        <v>guilherme.silva</v>
      </c>
      <c r="H121" s="2" t="str">
        <f>VLOOKUP(Tabela1[[#This Row],[Participante]],Usuários!$A:$I,COLUMN($I$1),0)</f>
        <v>942gs!@</v>
      </c>
      <c r="I121" s="1" t="s">
        <v>16</v>
      </c>
      <c r="J121" s="1" t="s">
        <v>16</v>
      </c>
      <c r="K121" t="s">
        <v>154</v>
      </c>
      <c r="L121" t="s">
        <v>307</v>
      </c>
      <c r="M121" t="str">
        <f>IF(Tabela1[[#This Row],[Tipo_aval]]="auto","Ok",IF(ISERROR(VLOOKUP(Tabela1[[#This Row],[Participante]],Atualização!$B:$B,1,FALSE)),"Ok","Atualizar"))</f>
        <v>Ok</v>
      </c>
      <c r="N12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21" t="str">
        <f>IF(IFERROR(VLOOKUP(Tabela1[[#This Row],[Novo_Avaliador]],Usuários!$A:$B,2,FALSE),"")="","",IFERROR(VLOOKUP(Tabela1[[#This Row],[Novo_Avaliador]],Usuários!$A:$B,2,FALSE),""))</f>
        <v>fabricio.bruschi@enind.com.br</v>
      </c>
      <c r="P121" t="str">
        <f>IF(Tabela1[[#This Row],[Novo_Avaliador]]=Tabela1[[#This Row],[Avaliador]],"Sim","Não")</f>
        <v>Sim</v>
      </c>
      <c r="Q121" t="b">
        <f>Tabela1[[#This Row],[email_repres]]=Tabela1[[#This Row],[e-mail novo avaliador]]</f>
        <v>1</v>
      </c>
    </row>
    <row r="122" spans="1:17" x14ac:dyDescent="0.25">
      <c r="A122" t="s">
        <v>257</v>
      </c>
      <c r="B122" t="s">
        <v>36</v>
      </c>
      <c r="C122" t="s">
        <v>154</v>
      </c>
      <c r="D122" t="s">
        <v>297</v>
      </c>
      <c r="E122" s="2" t="str">
        <f>VLOOKUP(Tabela1[[#This Row],[Avaliador]],Usuários!A:I,COLUMN($H$1),0)</f>
        <v>fabricio.bruschi</v>
      </c>
      <c r="F122" s="2" t="str">
        <f>VLOOKUP(Tabela1[[#This Row],[Avaliador]],Usuários!$A:$I,COLUMN($I$1),0)</f>
        <v>658fb!@</v>
      </c>
      <c r="G122" s="2" t="str">
        <f>VLOOKUP(Tabela1[[#This Row],[Participante]],Usuários!$A:$I,COLUMN($H$1),0)</f>
        <v>weshiley.silva</v>
      </c>
      <c r="H122" s="2" t="str">
        <f>VLOOKUP(Tabela1[[#This Row],[Participante]],Usuários!$A:$I,COLUMN($I$1),0)</f>
        <v>799ws!@</v>
      </c>
      <c r="I122" s="1" t="s">
        <v>16</v>
      </c>
      <c r="J122" s="1" t="s">
        <v>16</v>
      </c>
      <c r="K122" t="str">
        <f>Tabela1[[#This Row],[Email]]</f>
        <v>fabricio.bruschi@enind.com.br</v>
      </c>
      <c r="L122" t="s">
        <v>309</v>
      </c>
      <c r="M122" t="str">
        <f>IF(Tabela1[[#This Row],[Tipo_aval]]="auto","Ok",IF(ISERROR(VLOOKUP(Tabela1[[#This Row],[Participante]],Atualização!$B:$B,1,FALSE)),"Ok","Atualizar"))</f>
        <v>Atualizar</v>
      </c>
      <c r="N12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22" t="str">
        <f>IF(IFERROR(VLOOKUP(Tabela1[[#This Row],[Novo_Avaliador]],Usuários!$A:$B,2,FALSE),"")="","",IFERROR(VLOOKUP(Tabela1[[#This Row],[Novo_Avaliador]],Usuários!$A:$B,2,FALSE),""))</f>
        <v>fabricio.bruschi@enind.com.br</v>
      </c>
      <c r="P122" t="str">
        <f>IF(Tabela1[[#This Row],[Novo_Avaliador]]=Tabela1[[#This Row],[Avaliador]],"Sim","Não")</f>
        <v>Sim</v>
      </c>
      <c r="Q122" t="b">
        <f>Tabela1[[#This Row],[email_repres]]=Tabela1[[#This Row],[e-mail novo avaliador]]</f>
        <v>1</v>
      </c>
    </row>
    <row r="123" spans="1:17" x14ac:dyDescent="0.25">
      <c r="A123" t="s">
        <v>240</v>
      </c>
      <c r="B123" t="s">
        <v>36</v>
      </c>
      <c r="C123" t="s">
        <v>154</v>
      </c>
      <c r="D123" t="s">
        <v>303</v>
      </c>
      <c r="E123" s="2" t="str">
        <f>VLOOKUP(Tabela1[[#This Row],[Avaliador]],Usuários!A:I,COLUMN($H$1),0)</f>
        <v>fabricio.bruschi</v>
      </c>
      <c r="F123" s="2" t="str">
        <f>VLOOKUP(Tabela1[[#This Row],[Avaliador]],Usuários!$A:$I,COLUMN($I$1),0)</f>
        <v>658fb!@</v>
      </c>
      <c r="G123" s="2" t="str">
        <f>VLOOKUP(Tabela1[[#This Row],[Participante]],Usuários!$A:$I,COLUMN($H$1),0)</f>
        <v>mayara.santos</v>
      </c>
      <c r="H123" s="2" t="str">
        <f>VLOOKUP(Tabela1[[#This Row],[Participante]],Usuários!$A:$I,COLUMN($I$1),0)</f>
        <v>193ms!@</v>
      </c>
      <c r="I123" s="1" t="s">
        <v>16</v>
      </c>
      <c r="J123" s="1" t="s">
        <v>16</v>
      </c>
      <c r="K123" t="str">
        <f>Tabela1[[#This Row],[Email]]</f>
        <v>fabricio.bruschi@enind.com.br</v>
      </c>
      <c r="L123" t="s">
        <v>307</v>
      </c>
      <c r="M123" t="str">
        <f>IF(Tabela1[[#This Row],[Tipo_aval]]="auto","Ok",IF(ISERROR(VLOOKUP(Tabela1[[#This Row],[Participante]],Atualização!$B:$B,1,FALSE)),"Ok","Atualizar"))</f>
        <v>Atualizar</v>
      </c>
      <c r="N12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Fabricio Romanini Bruschi</v>
      </c>
      <c r="O123" t="str">
        <f>IF(IFERROR(VLOOKUP(Tabela1[[#This Row],[Novo_Avaliador]],Usuários!$A:$B,2,FALSE),"")="","",IFERROR(VLOOKUP(Tabela1[[#This Row],[Novo_Avaliador]],Usuários!$A:$B,2,FALSE),""))</f>
        <v>fabricio.bruschi@enind.com.br</v>
      </c>
      <c r="P123" t="str">
        <f>IF(Tabela1[[#This Row],[Novo_Avaliador]]=Tabela1[[#This Row],[Avaliador]],"Sim","Não")</f>
        <v>Sim</v>
      </c>
      <c r="Q123" t="b">
        <f>Tabela1[[#This Row],[email_repres]]=Tabela1[[#This Row],[e-mail novo avaliador]]</f>
        <v>1</v>
      </c>
    </row>
    <row r="124" spans="1:17" x14ac:dyDescent="0.25">
      <c r="A124" s="2" t="s">
        <v>147</v>
      </c>
      <c r="B124" s="2" t="s">
        <v>147</v>
      </c>
      <c r="C124" s="2" t="s">
        <v>157</v>
      </c>
      <c r="D124" s="2" t="s">
        <v>295</v>
      </c>
      <c r="E124" s="2" t="str">
        <f>VLOOKUP(Tabela1[[#This Row],[Avaliador]],Usuários!A:I,COLUMN($H$1),0)</f>
        <v>fernando.correa</v>
      </c>
      <c r="F124" s="2" t="str">
        <f>VLOOKUP(Tabela1[[#This Row],[Avaliador]],Usuários!$A:$I,COLUMN($I$1),0)</f>
        <v>968fc!@</v>
      </c>
      <c r="G124" s="2" t="str">
        <f>VLOOKUP(Tabela1[[#This Row],[Participante]],Usuários!$A:$I,COLUMN($H$1),0)</f>
        <v>fernando.correa</v>
      </c>
      <c r="H124" s="2" t="str">
        <f>VLOOKUP(Tabela1[[#This Row],[Participante]],Usuários!$A:$I,COLUMN($I$1),0)</f>
        <v>968fc!@</v>
      </c>
      <c r="I124" s="1" t="s">
        <v>6</v>
      </c>
      <c r="J124" s="1" t="s">
        <v>16</v>
      </c>
      <c r="K124" t="s">
        <v>157</v>
      </c>
      <c r="L124" t="s">
        <v>309</v>
      </c>
      <c r="M124" t="str">
        <f>IF(Tabela1[[#This Row],[Tipo_aval]]="auto","Ok",IF(ISERROR(VLOOKUP(Tabela1[[#This Row],[Participante]],Atualização!$B:$B,1,FALSE)),"Ok","Atualizar"))</f>
        <v>Ok</v>
      </c>
      <c r="N12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Fernando Marques Correa</v>
      </c>
      <c r="O124" t="str">
        <f>IF(IFERROR(VLOOKUP(Tabela1[[#This Row],[Novo_Avaliador]],Usuários!$A:$B,2,FALSE),"")="","",IFERROR(VLOOKUP(Tabela1[[#This Row],[Novo_Avaliador]],Usuários!$A:$B,2,FALSE),""))</f>
        <v>fernando.correa@enind.com.br</v>
      </c>
      <c r="P124" t="str">
        <f>IF(Tabela1[[#This Row],[Novo_Avaliador]]=Tabela1[[#This Row],[Avaliador]],"Sim","Não")</f>
        <v>Sim</v>
      </c>
      <c r="Q124" t="b">
        <f>Tabela1[[#This Row],[email_repres]]=Tabela1[[#This Row],[e-mail novo avaliador]]</f>
        <v>1</v>
      </c>
    </row>
    <row r="125" spans="1:17" x14ac:dyDescent="0.25">
      <c r="A125" t="s">
        <v>18</v>
      </c>
      <c r="B125" t="s">
        <v>147</v>
      </c>
      <c r="C125" t="s">
        <v>157</v>
      </c>
      <c r="D125" t="s">
        <v>303</v>
      </c>
      <c r="E125" s="2" t="str">
        <f>VLOOKUP(Tabela1[[#This Row],[Avaliador]],Usuários!A:I,COLUMN($H$1),0)</f>
        <v>fernando.correa</v>
      </c>
      <c r="F125" s="2" t="str">
        <f>VLOOKUP(Tabela1[[#This Row],[Avaliador]],Usuários!$A:$I,COLUMN($I$1),0)</f>
        <v>968fc!@</v>
      </c>
      <c r="G125" s="2" t="str">
        <f>VLOOKUP(Tabela1[[#This Row],[Participante]],Usuários!$A:$I,COLUMN($H$1),0)</f>
        <v>everton.bitencourt</v>
      </c>
      <c r="H125" s="2" t="str">
        <f>VLOOKUP(Tabela1[[#This Row],[Participante]],Usuários!$A:$I,COLUMN($I$1),0)</f>
        <v>566eb!@</v>
      </c>
      <c r="I125" s="1" t="s">
        <v>16</v>
      </c>
      <c r="J125" s="1" t="s">
        <v>16</v>
      </c>
      <c r="K125" t="s">
        <v>157</v>
      </c>
      <c r="L125" t="s">
        <v>309</v>
      </c>
      <c r="M125" t="str">
        <f>IF(Tabela1[[#This Row],[Tipo_aval]]="auto","Ok",IF(ISERROR(VLOOKUP(Tabela1[[#This Row],[Participante]],Atualização!$B:$B,1,FALSE)),"Ok","Atualizar"))</f>
        <v>Ok</v>
      </c>
      <c r="N12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Fernando Marques Correa</v>
      </c>
      <c r="O125" t="str">
        <f>IF(IFERROR(VLOOKUP(Tabela1[[#This Row],[Novo_Avaliador]],Usuários!$A:$B,2,FALSE),"")="","",IFERROR(VLOOKUP(Tabela1[[#This Row],[Novo_Avaliador]],Usuários!$A:$B,2,FALSE),""))</f>
        <v>fernando.correa@enind.com.br</v>
      </c>
      <c r="P125" t="str">
        <f>IF(Tabela1[[#This Row],[Novo_Avaliador]]=Tabela1[[#This Row],[Avaliador]],"Sim","Não")</f>
        <v>Sim</v>
      </c>
      <c r="Q125" t="b">
        <f>Tabela1[[#This Row],[email_repres]]=Tabela1[[#This Row],[e-mail novo avaliador]]</f>
        <v>1</v>
      </c>
    </row>
    <row r="126" spans="1:17" x14ac:dyDescent="0.25">
      <c r="A126" s="2" t="s">
        <v>19</v>
      </c>
      <c r="B126" s="2" t="s">
        <v>147</v>
      </c>
      <c r="C126" s="2" t="s">
        <v>157</v>
      </c>
      <c r="D126" s="3" t="s">
        <v>303</v>
      </c>
      <c r="E126" s="2" t="str">
        <f>VLOOKUP(Tabela1[[#This Row],[Avaliador]],Usuários!A:I,COLUMN($H$1),0)</f>
        <v>fernando.correa</v>
      </c>
      <c r="F126" s="2" t="str">
        <f>VLOOKUP(Tabela1[[#This Row],[Avaliador]],Usuários!$A:$I,COLUMN($I$1),0)</f>
        <v>968fc!@</v>
      </c>
      <c r="G126" s="2" t="str">
        <f>VLOOKUP(Tabela1[[#This Row],[Participante]],Usuários!$A:$I,COLUMN($H$1),0)</f>
        <v>alessandra.tambellini</v>
      </c>
      <c r="H126" s="2" t="str">
        <f>VLOOKUP(Tabela1[[#This Row],[Participante]],Usuários!$A:$I,COLUMN($I$1),0)</f>
        <v>386at!@</v>
      </c>
      <c r="I126" s="1" t="s">
        <v>16</v>
      </c>
      <c r="J126" s="1" t="s">
        <v>16</v>
      </c>
      <c r="K126" t="str">
        <f>Tabela1[[#This Row],[Email]]</f>
        <v>fernando.correa@enind.com.br</v>
      </c>
      <c r="L126" t="s">
        <v>307</v>
      </c>
      <c r="M126" t="str">
        <f>IF(Tabela1[[#This Row],[Tipo_aval]]="auto","Ok",IF(ISERROR(VLOOKUP(Tabela1[[#This Row],[Participante]],Atualização!$B:$B,1,FALSE)),"Ok","Atualizar"))</f>
        <v>Atualizar</v>
      </c>
      <c r="N12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Fernando Marques Correa</v>
      </c>
      <c r="O126" t="str">
        <f>IF(IFERROR(VLOOKUP(Tabela1[[#This Row],[Novo_Avaliador]],Usuários!$A:$B,2,FALSE),"")="","",IFERROR(VLOOKUP(Tabela1[[#This Row],[Novo_Avaliador]],Usuários!$A:$B,2,FALSE),""))</f>
        <v>fernando.correa@enind.com.br</v>
      </c>
      <c r="P126" t="str">
        <f>IF(Tabela1[[#This Row],[Novo_Avaliador]]=Tabela1[[#This Row],[Avaliador]],"Sim","Não")</f>
        <v>Sim</v>
      </c>
      <c r="Q126" t="b">
        <f>Tabela1[[#This Row],[email_repres]]=Tabela1[[#This Row],[e-mail novo avaliador]]</f>
        <v>1</v>
      </c>
    </row>
    <row r="127" spans="1:17" x14ac:dyDescent="0.25">
      <c r="A127" s="2" t="s">
        <v>159</v>
      </c>
      <c r="B127" s="2" t="s">
        <v>147</v>
      </c>
      <c r="C127" s="2" t="s">
        <v>157</v>
      </c>
      <c r="D127" s="2" t="s">
        <v>303</v>
      </c>
      <c r="E127" s="2" t="str">
        <f>VLOOKUP(Tabela1[[#This Row],[Avaliador]],Usuários!A:I,COLUMN($H$1),0)</f>
        <v>fernando.correa</v>
      </c>
      <c r="F127" s="2" t="str">
        <f>VLOOKUP(Tabela1[[#This Row],[Avaliador]],Usuários!$A:$I,COLUMN($I$1),0)</f>
        <v>968fc!@</v>
      </c>
      <c r="G127" s="2" t="str">
        <f>VLOOKUP(Tabela1[[#This Row],[Participante]],Usuários!$A:$I,COLUMN($H$1),0)</f>
        <v>glaucia.pontes</v>
      </c>
      <c r="H127" s="2" t="str">
        <f>VLOOKUP(Tabela1[[#This Row],[Participante]],Usuários!$A:$I,COLUMN($I$1),0)</f>
        <v>493gp!@</v>
      </c>
      <c r="I127" s="1" t="s">
        <v>16</v>
      </c>
      <c r="J127" s="1" t="s">
        <v>16</v>
      </c>
      <c r="K127" t="str">
        <f>Tabela1[[#This Row],[Email]]</f>
        <v>fernando.correa@enind.com.br</v>
      </c>
      <c r="L127" t="s">
        <v>307</v>
      </c>
      <c r="M127" t="str">
        <f>IF(Tabela1[[#This Row],[Tipo_aval]]="auto","Ok",IF(ISERROR(VLOOKUP(Tabela1[[#This Row],[Participante]],Atualização!$B:$B,1,FALSE)),"Ok","Atualizar"))</f>
        <v>Atualizar</v>
      </c>
      <c r="N12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Fernando Marques Correa</v>
      </c>
      <c r="O127" t="str">
        <f>IF(IFERROR(VLOOKUP(Tabela1[[#This Row],[Novo_Avaliador]],Usuários!$A:$B,2,FALSE),"")="","",IFERROR(VLOOKUP(Tabela1[[#This Row],[Novo_Avaliador]],Usuários!$A:$B,2,FALSE),""))</f>
        <v>fernando.correa@enind.com.br</v>
      </c>
      <c r="P127" t="str">
        <f>IF(Tabela1[[#This Row],[Novo_Avaliador]]=Tabela1[[#This Row],[Avaliador]],"Sim","Não")</f>
        <v>Sim</v>
      </c>
      <c r="Q127" t="b">
        <f>Tabela1[[#This Row],[email_repres]]=Tabela1[[#This Row],[e-mail novo avaliador]]</f>
        <v>1</v>
      </c>
    </row>
    <row r="128" spans="1:17" x14ac:dyDescent="0.25">
      <c r="A128" s="2" t="s">
        <v>161</v>
      </c>
      <c r="B128" s="2" t="s">
        <v>161</v>
      </c>
      <c r="C128" s="2" t="s">
        <v>162</v>
      </c>
      <c r="D128" s="2" t="s">
        <v>295</v>
      </c>
      <c r="E128" s="2" t="str">
        <f>VLOOKUP(Tabela1[[#This Row],[Avaliador]],Usuários!A:I,COLUMN($H$1),0)</f>
        <v>gabriela.lima</v>
      </c>
      <c r="F128" s="2" t="str">
        <f>VLOOKUP(Tabela1[[#This Row],[Avaliador]],Usuários!$A:$I,COLUMN($I$1),0)</f>
        <v>958gl!@</v>
      </c>
      <c r="G128" s="2" t="str">
        <f>VLOOKUP(Tabela1[[#This Row],[Participante]],Usuários!$A:$I,COLUMN($H$1),0)</f>
        <v>gabriela.lima</v>
      </c>
      <c r="H128" s="2" t="str">
        <f>VLOOKUP(Tabela1[[#This Row],[Participante]],Usuários!$A:$I,COLUMN($I$1),0)</f>
        <v>958gl!@</v>
      </c>
      <c r="I128" s="1" t="s">
        <v>6</v>
      </c>
      <c r="J128" s="1" t="s">
        <v>16</v>
      </c>
      <c r="K128" t="s">
        <v>162</v>
      </c>
      <c r="L128" t="s">
        <v>307</v>
      </c>
      <c r="M128" t="str">
        <f>IF(Tabela1[[#This Row],[Tipo_aval]]="auto","Ok",IF(ISERROR(VLOOKUP(Tabela1[[#This Row],[Participante]],Atualização!$B:$B,1,FALSE)),"Ok","Atualizar"))</f>
        <v>Ok</v>
      </c>
      <c r="N12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Gabriela Caixeta Lima</v>
      </c>
      <c r="O128" t="str">
        <f>IF(IFERROR(VLOOKUP(Tabela1[[#This Row],[Novo_Avaliador]],Usuários!$A:$B,2,FALSE),"")="","",IFERROR(VLOOKUP(Tabela1[[#This Row],[Novo_Avaliador]],Usuários!$A:$B,2,FALSE),""))</f>
        <v>gabriela.lima@enind.com.br</v>
      </c>
      <c r="P128" t="str">
        <f>IF(Tabela1[[#This Row],[Novo_Avaliador]]=Tabela1[[#This Row],[Avaliador]],"Sim","Não")</f>
        <v>Sim</v>
      </c>
      <c r="Q128" t="b">
        <f>Tabela1[[#This Row],[email_repres]]=Tabela1[[#This Row],[e-mail novo avaliador]]</f>
        <v>1</v>
      </c>
    </row>
    <row r="129" spans="1:17" x14ac:dyDescent="0.25">
      <c r="A129" t="s">
        <v>318</v>
      </c>
      <c r="B129" t="s">
        <v>161</v>
      </c>
      <c r="C129" t="s">
        <v>162</v>
      </c>
      <c r="D129" t="s">
        <v>297</v>
      </c>
      <c r="E129" s="2" t="str">
        <f>VLOOKUP(Tabela1[[#This Row],[Avaliador]],Usuários!A:I,COLUMN($H$1),0)</f>
        <v>gabriela.lima</v>
      </c>
      <c r="F129" s="2" t="str">
        <f>VLOOKUP(Tabela1[[#This Row],[Avaliador]],Usuários!$A:$I,COLUMN($I$1),0)</f>
        <v>958gl!@</v>
      </c>
      <c r="G129" s="2" t="str">
        <f>VLOOKUP(Tabela1[[#This Row],[Participante]],Usuários!$A:$I,COLUMN($H$1),0)</f>
        <v>amanda.oliveira</v>
      </c>
      <c r="H129" s="2" t="str">
        <f>VLOOKUP(Tabela1[[#This Row],[Participante]],Usuários!$A:$I,COLUMN($I$1),0)</f>
        <v>894ao!@</v>
      </c>
      <c r="I129" s="1" t="s">
        <v>16</v>
      </c>
      <c r="J129" s="1" t="s">
        <v>16</v>
      </c>
      <c r="K129" t="s">
        <v>162</v>
      </c>
      <c r="L129" t="s">
        <v>307</v>
      </c>
      <c r="M129" t="str">
        <f>IF(Tabela1[[#This Row],[Tipo_aval]]="auto","Ok",IF(ISERROR(VLOOKUP(Tabela1[[#This Row],[Participante]],Atualização!$B:$B,1,FALSE)),"Ok","Atualizar"))</f>
        <v>Ok</v>
      </c>
      <c r="N12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Gabriela Caixeta Lima</v>
      </c>
      <c r="O129" t="str">
        <f>IF(IFERROR(VLOOKUP(Tabela1[[#This Row],[Novo_Avaliador]],Usuários!$A:$B,2,FALSE),"")="","",IFERROR(VLOOKUP(Tabela1[[#This Row],[Novo_Avaliador]],Usuários!$A:$B,2,FALSE),""))</f>
        <v>gabriela.lima@enind.com.br</v>
      </c>
      <c r="P129" t="str">
        <f>IF(Tabela1[[#This Row],[Novo_Avaliador]]=Tabela1[[#This Row],[Avaliador]],"Sim","Não")</f>
        <v>Sim</v>
      </c>
      <c r="Q129" t="b">
        <f>Tabela1[[#This Row],[email_repres]]=Tabela1[[#This Row],[e-mail novo avaliador]]</f>
        <v>1</v>
      </c>
    </row>
    <row r="130" spans="1:17" x14ac:dyDescent="0.25">
      <c r="A130" t="s">
        <v>347</v>
      </c>
      <c r="B130" t="s">
        <v>161</v>
      </c>
      <c r="C130" t="s">
        <v>162</v>
      </c>
      <c r="D130" t="s">
        <v>297</v>
      </c>
      <c r="E130" s="2" t="str">
        <f>VLOOKUP(Tabela1[[#This Row],[Avaliador]],Usuários!A:I,COLUMN($H$1),0)</f>
        <v>gabriela.lima</v>
      </c>
      <c r="F130" s="2" t="str">
        <f>VLOOKUP(Tabela1[[#This Row],[Avaliador]],Usuários!$A:$I,COLUMN($I$1),0)</f>
        <v>958gl!@</v>
      </c>
      <c r="G130" s="2" t="str">
        <f>VLOOKUP(Tabela1[[#This Row],[Participante]],Usuários!$A:$I,COLUMN($H$1),0)</f>
        <v>rebeca.porto</v>
      </c>
      <c r="H130" s="2" t="str">
        <f>VLOOKUP(Tabela1[[#This Row],[Participante]],Usuários!$A:$I,COLUMN($I$1),0)</f>
        <v>166rp!@</v>
      </c>
      <c r="I130" s="1" t="s">
        <v>16</v>
      </c>
      <c r="J130" s="1" t="s">
        <v>16</v>
      </c>
      <c r="K130" t="s">
        <v>162</v>
      </c>
      <c r="L130" t="s">
        <v>307</v>
      </c>
      <c r="M130" t="str">
        <f>IF(Tabela1[[#This Row],[Tipo_aval]]="auto","Ok",IF(ISERROR(VLOOKUP(Tabela1[[#This Row],[Participante]],Atualização!$B:$B,1,FALSE)),"Ok","Atualizar"))</f>
        <v>Ok</v>
      </c>
      <c r="N13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Gabriela Caixeta Lima</v>
      </c>
      <c r="O130" t="str">
        <f>IF(IFERROR(VLOOKUP(Tabela1[[#This Row],[Novo_Avaliador]],Usuários!$A:$B,2,FALSE),"")="","",IFERROR(VLOOKUP(Tabela1[[#This Row],[Novo_Avaliador]],Usuários!$A:$B,2,FALSE),""))</f>
        <v>gabriela.lima@enind.com.br</v>
      </c>
      <c r="P130" t="str">
        <f>IF(Tabela1[[#This Row],[Novo_Avaliador]]=Tabela1[[#This Row],[Avaliador]],"Sim","Não")</f>
        <v>Sim</v>
      </c>
      <c r="Q130" t="b">
        <f>Tabela1[[#This Row],[email_repres]]=Tabela1[[#This Row],[e-mail novo avaliador]]</f>
        <v>1</v>
      </c>
    </row>
    <row r="131" spans="1:17" x14ac:dyDescent="0.25">
      <c r="A131" t="s">
        <v>345</v>
      </c>
      <c r="B131" t="s">
        <v>161</v>
      </c>
      <c r="C131" t="s">
        <v>162</v>
      </c>
      <c r="D131" t="s">
        <v>297</v>
      </c>
      <c r="E131" s="2" t="str">
        <f>VLOOKUP(Tabela1[[#This Row],[Avaliador]],Usuários!A:I,COLUMN($H$1),0)</f>
        <v>gabriela.lima</v>
      </c>
      <c r="F131" s="2" t="str">
        <f>VLOOKUP(Tabela1[[#This Row],[Avaliador]],Usuários!$A:$I,COLUMN($I$1),0)</f>
        <v>958gl!@</v>
      </c>
      <c r="G131" s="2" t="str">
        <f>VLOOKUP(Tabela1[[#This Row],[Participante]],Usuários!$A:$I,COLUMN($H$1),0)</f>
        <v>natalia.santos</v>
      </c>
      <c r="H131" s="2" t="str">
        <f>VLOOKUP(Tabela1[[#This Row],[Participante]],Usuários!$A:$I,COLUMN($I$1),0)</f>
        <v>592ns!@</v>
      </c>
      <c r="I131" s="1" t="s">
        <v>16</v>
      </c>
      <c r="J131" s="1" t="s">
        <v>16</v>
      </c>
      <c r="K131" t="str">
        <f>Tabela1[[#This Row],[Email]]</f>
        <v>gabriela.lima@enind.com.br</v>
      </c>
      <c r="L131" t="s">
        <v>307</v>
      </c>
      <c r="M131" t="str">
        <f>IF(Tabela1[[#This Row],[Tipo_aval]]="auto","Ok",IF(ISERROR(VLOOKUP(Tabela1[[#This Row],[Participante]],Atualização!$B:$B,1,FALSE)),"Ok","Atualizar"))</f>
        <v>Atualizar</v>
      </c>
      <c r="N13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Gabriela Caixeta Lima</v>
      </c>
      <c r="O131" t="str">
        <f>IF(IFERROR(VLOOKUP(Tabela1[[#This Row],[Novo_Avaliador]],Usuários!$A:$B,2,FALSE),"")="","",IFERROR(VLOOKUP(Tabela1[[#This Row],[Novo_Avaliador]],Usuários!$A:$B,2,FALSE),""))</f>
        <v>gabriela.lima@enind.com.br</v>
      </c>
      <c r="P131" t="str">
        <f>IF(Tabela1[[#This Row],[Novo_Avaliador]]=Tabela1[[#This Row],[Avaliador]],"Sim","Não")</f>
        <v>Sim</v>
      </c>
      <c r="Q131" t="b">
        <f>Tabela1[[#This Row],[email_repres]]=Tabela1[[#This Row],[e-mail novo avaliador]]</f>
        <v>1</v>
      </c>
    </row>
    <row r="132" spans="1:17" x14ac:dyDescent="0.25">
      <c r="A132" s="2" t="s">
        <v>159</v>
      </c>
      <c r="B132" s="2" t="s">
        <v>159</v>
      </c>
      <c r="C132" s="2" t="s">
        <v>165</v>
      </c>
      <c r="D132" s="2" t="s">
        <v>295</v>
      </c>
      <c r="E132" s="2" t="str">
        <f>VLOOKUP(Tabela1[[#This Row],[Avaliador]],Usuários!A:I,COLUMN($H$1),0)</f>
        <v>glaucia.pontes</v>
      </c>
      <c r="F132" s="2" t="str">
        <f>VLOOKUP(Tabela1[[#This Row],[Avaliador]],Usuários!$A:$I,COLUMN($I$1),0)</f>
        <v>493gp!@</v>
      </c>
      <c r="G132" s="2" t="str">
        <f>VLOOKUP(Tabela1[[#This Row],[Participante]],Usuários!$A:$I,COLUMN($H$1),0)</f>
        <v>glaucia.pontes</v>
      </c>
      <c r="H132" s="2" t="str">
        <f>VLOOKUP(Tabela1[[#This Row],[Participante]],Usuários!$A:$I,COLUMN($I$1),0)</f>
        <v>493gp!@</v>
      </c>
      <c r="I132" s="1" t="s">
        <v>6</v>
      </c>
      <c r="J132" s="1" t="s">
        <v>16</v>
      </c>
      <c r="K132" t="s">
        <v>165</v>
      </c>
      <c r="L132" t="s">
        <v>307</v>
      </c>
      <c r="M132" t="str">
        <f>IF(Tabela1[[#This Row],[Tipo_aval]]="auto","Ok",IF(ISERROR(VLOOKUP(Tabela1[[#This Row],[Participante]],Atualização!$B:$B,1,FALSE)),"Ok","Atualizar"))</f>
        <v>Ok</v>
      </c>
      <c r="N13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Glaucia Delgado Pontes</v>
      </c>
      <c r="O132" t="str">
        <f>IF(IFERROR(VLOOKUP(Tabela1[[#This Row],[Novo_Avaliador]],Usuários!$A:$B,2,FALSE),"")="","",IFERROR(VLOOKUP(Tabela1[[#This Row],[Novo_Avaliador]],Usuários!$A:$B,2,FALSE),""))</f>
        <v>glaucia.pontes@enind.com.br</v>
      </c>
      <c r="P132" t="str">
        <f>IF(Tabela1[[#This Row],[Novo_Avaliador]]=Tabela1[[#This Row],[Avaliador]],"Sim","Não")</f>
        <v>Sim</v>
      </c>
      <c r="Q132" t="b">
        <f>Tabela1[[#This Row],[email_repres]]=Tabela1[[#This Row],[e-mail novo avaliador]]</f>
        <v>1</v>
      </c>
    </row>
    <row r="133" spans="1:17" x14ac:dyDescent="0.25">
      <c r="A133" s="2" t="s">
        <v>117</v>
      </c>
      <c r="B133" s="2" t="s">
        <v>117</v>
      </c>
      <c r="C133" s="2" t="s">
        <v>166</v>
      </c>
      <c r="D133" s="2" t="s">
        <v>295</v>
      </c>
      <c r="E133" s="2" t="str">
        <f>VLOOKUP(Tabela1[[#This Row],[Avaliador]],Usuários!A:I,COLUMN($H$1),0)</f>
        <v>guilherme.luis</v>
      </c>
      <c r="F133" s="2" t="str">
        <f>VLOOKUP(Tabela1[[#This Row],[Avaliador]],Usuários!$A:$I,COLUMN($I$1),0)</f>
        <v>038gl!@</v>
      </c>
      <c r="G133" s="2" t="str">
        <f>VLOOKUP(Tabela1[[#This Row],[Participante]],Usuários!$A:$I,COLUMN($H$1),0)</f>
        <v>guilherme.luis</v>
      </c>
      <c r="H133" s="2" t="str">
        <f>VLOOKUP(Tabela1[[#This Row],[Participante]],Usuários!$A:$I,COLUMN($I$1),0)</f>
        <v>038gl!@</v>
      </c>
      <c r="I133" s="1" t="s">
        <v>6</v>
      </c>
      <c r="J133" s="1" t="s">
        <v>16</v>
      </c>
      <c r="K133" t="s">
        <v>166</v>
      </c>
      <c r="L133" t="s">
        <v>309</v>
      </c>
      <c r="M133" t="str">
        <f>IF(Tabela1[[#This Row],[Tipo_aval]]="auto","Ok",IF(ISERROR(VLOOKUP(Tabela1[[#This Row],[Participante]],Atualização!$B:$B,1,FALSE)),"Ok","Atualizar"))</f>
        <v>Ok</v>
      </c>
      <c r="N13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Luis Eberhardt</v>
      </c>
      <c r="O133" t="str">
        <f>IF(IFERROR(VLOOKUP(Tabela1[[#This Row],[Novo_Avaliador]],Usuários!$A:$B,2,FALSE),"")="","",IFERROR(VLOOKUP(Tabela1[[#This Row],[Novo_Avaliador]],Usuários!$A:$B,2,FALSE),""))</f>
        <v>guilherme.luis@enind.com.br</v>
      </c>
      <c r="P133" t="str">
        <f>IF(Tabela1[[#This Row],[Novo_Avaliador]]=Tabela1[[#This Row],[Avaliador]],"Sim","Não")</f>
        <v>Sim</v>
      </c>
      <c r="Q133" t="b">
        <f>Tabela1[[#This Row],[email_repres]]=Tabela1[[#This Row],[e-mail novo avaliador]]</f>
        <v>1</v>
      </c>
    </row>
    <row r="134" spans="1:17" x14ac:dyDescent="0.25">
      <c r="A134" s="2" t="s">
        <v>14</v>
      </c>
      <c r="B134" s="2" t="s">
        <v>117</v>
      </c>
      <c r="C134" s="2" t="s">
        <v>166</v>
      </c>
      <c r="D134" s="2" t="s">
        <v>297</v>
      </c>
      <c r="E134" s="2" t="str">
        <f>VLOOKUP(Tabela1[[#This Row],[Avaliador]],Usuários!A:I,COLUMN($H$1),0)</f>
        <v>guilherme.luis</v>
      </c>
      <c r="F134" s="2" t="str">
        <f>VLOOKUP(Tabela1[[#This Row],[Avaliador]],Usuários!$A:$I,COLUMN($I$1),0)</f>
        <v>038gl!@</v>
      </c>
      <c r="G134" s="2" t="str">
        <f>VLOOKUP(Tabela1[[#This Row],[Participante]],Usuários!$A:$I,COLUMN($H$1),0)</f>
        <v>ellian.nunes</v>
      </c>
      <c r="H134" s="2" t="str">
        <f>VLOOKUP(Tabela1[[#This Row],[Participante]],Usuários!$A:$I,COLUMN($I$1),0)</f>
        <v>574en!@</v>
      </c>
      <c r="I134" s="1" t="s">
        <v>16</v>
      </c>
      <c r="J134" s="1" t="s">
        <v>16</v>
      </c>
      <c r="K134" t="str">
        <f>Tabela1[[#This Row],[Email]]</f>
        <v>guilherme.luis@enind.com.br</v>
      </c>
      <c r="L134" t="s">
        <v>309</v>
      </c>
      <c r="M134" t="str">
        <f>IF(Tabela1[[#This Row],[Tipo_aval]]="auto","Ok",IF(ISERROR(VLOOKUP(Tabela1[[#This Row],[Participante]],Atualização!$B:$B,1,FALSE)),"Ok","Atualizar"))</f>
        <v>Atualizar</v>
      </c>
      <c r="N13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Luis Eberhardt</v>
      </c>
      <c r="O134" t="str">
        <f>IF(IFERROR(VLOOKUP(Tabela1[[#This Row],[Novo_Avaliador]],Usuários!$A:$B,2,FALSE),"")="","",IFERROR(VLOOKUP(Tabela1[[#This Row],[Novo_Avaliador]],Usuários!$A:$B,2,FALSE),""))</f>
        <v>guilherme.luis@enind.com.br</v>
      </c>
      <c r="P134" t="str">
        <f>IF(Tabela1[[#This Row],[Novo_Avaliador]]=Tabela1[[#This Row],[Avaliador]],"Sim","Não")</f>
        <v>Sim</v>
      </c>
      <c r="Q134" t="b">
        <f>Tabela1[[#This Row],[email_repres]]=Tabela1[[#This Row],[e-mail novo avaliador]]</f>
        <v>1</v>
      </c>
    </row>
    <row r="135" spans="1:17" x14ac:dyDescent="0.25">
      <c r="A135" s="2" t="s">
        <v>167</v>
      </c>
      <c r="B135" s="2" t="s">
        <v>117</v>
      </c>
      <c r="C135" s="2" t="s">
        <v>166</v>
      </c>
      <c r="D135" s="2" t="s">
        <v>297</v>
      </c>
      <c r="E135" s="2" t="str">
        <f>VLOOKUP(Tabela1[[#This Row],[Avaliador]],Usuários!A:I,COLUMN($H$1),0)</f>
        <v>guilherme.luis</v>
      </c>
      <c r="F135" s="2" t="str">
        <f>VLOOKUP(Tabela1[[#This Row],[Avaliador]],Usuários!$A:$I,COLUMN($I$1),0)</f>
        <v>038gl!@</v>
      </c>
      <c r="G135" s="2" t="str">
        <f>VLOOKUP(Tabela1[[#This Row],[Participante]],Usuários!$A:$I,COLUMN($H$1),0)</f>
        <v>murilo.guidi</v>
      </c>
      <c r="H135" s="2" t="str">
        <f>VLOOKUP(Tabela1[[#This Row],[Participante]],Usuários!$A:$I,COLUMN($I$1),0)</f>
        <v>617mg!@</v>
      </c>
      <c r="I135" s="1" t="s">
        <v>16</v>
      </c>
      <c r="J135" s="1" t="s">
        <v>16</v>
      </c>
      <c r="K135" t="s">
        <v>166</v>
      </c>
      <c r="L135" t="s">
        <v>307</v>
      </c>
      <c r="M135" t="str">
        <f>IF(Tabela1[[#This Row],[Tipo_aval]]="auto","Ok",IF(ISERROR(VLOOKUP(Tabela1[[#This Row],[Participante]],Atualização!$B:$B,1,FALSE)),"Ok","Atualizar"))</f>
        <v>Ok</v>
      </c>
      <c r="N13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Luis Eberhardt</v>
      </c>
      <c r="O135" t="str">
        <f>IF(IFERROR(VLOOKUP(Tabela1[[#This Row],[Novo_Avaliador]],Usuários!$A:$B,2,FALSE),"")="","",IFERROR(VLOOKUP(Tabela1[[#This Row],[Novo_Avaliador]],Usuários!$A:$B,2,FALSE),""))</f>
        <v>guilherme.luis@enind.com.br</v>
      </c>
      <c r="P135" t="str">
        <f>IF(Tabela1[[#This Row],[Novo_Avaliador]]=Tabela1[[#This Row],[Avaliador]],"Sim","Não")</f>
        <v>Sim</v>
      </c>
      <c r="Q135" t="b">
        <f>Tabela1[[#This Row],[email_repres]]=Tabela1[[#This Row],[e-mail novo avaliador]]</f>
        <v>1</v>
      </c>
    </row>
    <row r="136" spans="1:17" x14ac:dyDescent="0.25">
      <c r="A136" s="2" t="s">
        <v>13</v>
      </c>
      <c r="B136" s="2" t="s">
        <v>117</v>
      </c>
      <c r="C136" s="2" t="s">
        <v>166</v>
      </c>
      <c r="D136" s="2" t="s">
        <v>303</v>
      </c>
      <c r="E136" s="2" t="str">
        <f>VLOOKUP(Tabela1[[#This Row],[Avaliador]],Usuários!A:I,COLUMN($H$1),0)</f>
        <v>guilherme.luis</v>
      </c>
      <c r="F136" s="2" t="str">
        <f>VLOOKUP(Tabela1[[#This Row],[Avaliador]],Usuários!$A:$I,COLUMN($I$1),0)</f>
        <v>038gl!@</v>
      </c>
      <c r="G136" s="2" t="str">
        <f>VLOOKUP(Tabela1[[#This Row],[Participante]],Usuários!$A:$I,COLUMN($H$1),0)</f>
        <v>antonio.sousa</v>
      </c>
      <c r="H136" s="2" t="str">
        <f>VLOOKUP(Tabela1[[#This Row],[Participante]],Usuários!$A:$I,COLUMN($I$1),0)</f>
        <v>721as!@</v>
      </c>
      <c r="I136" s="1" t="s">
        <v>16</v>
      </c>
      <c r="J136" s="1" t="s">
        <v>16</v>
      </c>
      <c r="K136" t="s">
        <v>166</v>
      </c>
      <c r="L136" t="s">
        <v>308</v>
      </c>
      <c r="M136" t="str">
        <f>IF(Tabela1[[#This Row],[Tipo_aval]]="auto","Ok",IF(ISERROR(VLOOKUP(Tabela1[[#This Row],[Participante]],Atualização!$B:$B,1,FALSE)),"Ok","Atualizar"))</f>
        <v>Ok</v>
      </c>
      <c r="N13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Luis Eberhardt</v>
      </c>
      <c r="O136" t="str">
        <f>IF(IFERROR(VLOOKUP(Tabela1[[#This Row],[Novo_Avaliador]],Usuários!$A:$B,2,FALSE),"")="","",IFERROR(VLOOKUP(Tabela1[[#This Row],[Novo_Avaliador]],Usuários!$A:$B,2,FALSE),""))</f>
        <v>guilherme.luis@enind.com.br</v>
      </c>
      <c r="P136" t="str">
        <f>IF(Tabela1[[#This Row],[Novo_Avaliador]]=Tabela1[[#This Row],[Avaliador]],"Sim","Não")</f>
        <v>Sim</v>
      </c>
      <c r="Q136" t="b">
        <f>Tabela1[[#This Row],[email_repres]]=Tabela1[[#This Row],[e-mail novo avaliador]]</f>
        <v>1</v>
      </c>
    </row>
    <row r="137" spans="1:17" x14ac:dyDescent="0.25">
      <c r="A137" s="2" t="s">
        <v>169</v>
      </c>
      <c r="B137" s="2" t="s">
        <v>169</v>
      </c>
      <c r="C137" s="2" t="s">
        <v>170</v>
      </c>
      <c r="D137" s="2" t="s">
        <v>295</v>
      </c>
      <c r="E137" s="2" t="str">
        <f>VLOOKUP(Tabela1[[#This Row],[Avaliador]],Usuários!A:I,COLUMN($H$1),0)</f>
        <v>guilherme.silva</v>
      </c>
      <c r="F137" s="2" t="str">
        <f>VLOOKUP(Tabela1[[#This Row],[Avaliador]],Usuários!$A:$I,COLUMN($I$1),0)</f>
        <v>942gs!@</v>
      </c>
      <c r="G137" s="2" t="str">
        <f>VLOOKUP(Tabela1[[#This Row],[Participante]],Usuários!$A:$I,COLUMN($H$1),0)</f>
        <v>guilherme.silva</v>
      </c>
      <c r="H137" s="2" t="str">
        <f>VLOOKUP(Tabela1[[#This Row],[Participante]],Usuários!$A:$I,COLUMN($I$1),0)</f>
        <v>942gs!@</v>
      </c>
      <c r="I137" s="1" t="s">
        <v>6</v>
      </c>
      <c r="J137" s="1" t="s">
        <v>16</v>
      </c>
      <c r="K137" t="s">
        <v>170</v>
      </c>
      <c r="L137" t="s">
        <v>307</v>
      </c>
      <c r="M137" t="str">
        <f>IF(Tabela1[[#This Row],[Tipo_aval]]="auto","Ok",IF(ISERROR(VLOOKUP(Tabela1[[#This Row],[Participante]],Atualização!$B:$B,1,FALSE)),"Ok","Atualizar"))</f>
        <v>Ok</v>
      </c>
      <c r="N13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Sala Silva</v>
      </c>
      <c r="O137" t="str">
        <f>IF(IFERROR(VLOOKUP(Tabela1[[#This Row],[Novo_Avaliador]],Usuários!$A:$B,2,FALSE),"")="","",IFERROR(VLOOKUP(Tabela1[[#This Row],[Novo_Avaliador]],Usuários!$A:$B,2,FALSE),""))</f>
        <v>guilherme.silva@enind.com.br</v>
      </c>
      <c r="P137" t="str">
        <f>IF(Tabela1[[#This Row],[Novo_Avaliador]]=Tabela1[[#This Row],[Avaliador]],"Sim","Não")</f>
        <v>Sim</v>
      </c>
      <c r="Q137" t="b">
        <f>Tabela1[[#This Row],[email_repres]]=Tabela1[[#This Row],[e-mail novo avaliador]]</f>
        <v>1</v>
      </c>
    </row>
    <row r="138" spans="1:17" x14ac:dyDescent="0.25">
      <c r="A138" t="s">
        <v>332</v>
      </c>
      <c r="B138" t="s">
        <v>169</v>
      </c>
      <c r="C138" t="s">
        <v>170</v>
      </c>
      <c r="D138" t="s">
        <v>297</v>
      </c>
      <c r="E138" s="2" t="str">
        <f>VLOOKUP(Tabela1[[#This Row],[Avaliador]],Usuários!A:I,COLUMN($H$1),0)</f>
        <v>guilherme.silva</v>
      </c>
      <c r="F138" s="2" t="str">
        <f>VLOOKUP(Tabela1[[#This Row],[Avaliador]],Usuários!$A:$I,COLUMN($I$1),0)</f>
        <v>942gs!@</v>
      </c>
      <c r="G138" s="2" t="str">
        <f>VLOOKUP(Tabela1[[#This Row],[Participante]],Usuários!$A:$I,COLUMN($H$1),0)</f>
        <v>ieza.amaral</v>
      </c>
      <c r="H138" s="2" t="str">
        <f>VLOOKUP(Tabela1[[#This Row],[Participante]],Usuários!$A:$I,COLUMN($I$1),0)</f>
        <v>057ia!@</v>
      </c>
      <c r="I138" s="1" t="s">
        <v>16</v>
      </c>
      <c r="J138" s="1" t="s">
        <v>16</v>
      </c>
      <c r="K138" t="s">
        <v>170</v>
      </c>
      <c r="L138" t="s">
        <v>307</v>
      </c>
      <c r="M138" t="str">
        <f>IF(Tabela1[[#This Row],[Tipo_aval]]="auto","Ok",IF(ISERROR(VLOOKUP(Tabela1[[#This Row],[Participante]],Atualização!$B:$B,1,FALSE)),"Ok","Atualizar"))</f>
        <v>Ok</v>
      </c>
      <c r="N13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Sala Silva</v>
      </c>
      <c r="O138" t="str">
        <f>IF(IFERROR(VLOOKUP(Tabela1[[#This Row],[Novo_Avaliador]],Usuários!$A:$B,2,FALSE),"")="","",IFERROR(VLOOKUP(Tabela1[[#This Row],[Novo_Avaliador]],Usuários!$A:$B,2,FALSE),""))</f>
        <v>guilherme.silva@enind.com.br</v>
      </c>
      <c r="P138" t="str">
        <f>IF(Tabela1[[#This Row],[Novo_Avaliador]]=Tabela1[[#This Row],[Avaliador]],"Sim","Não")</f>
        <v>Sim</v>
      </c>
      <c r="Q138" t="b">
        <f>Tabela1[[#This Row],[email_repres]]=Tabela1[[#This Row],[e-mail novo avaliador]]</f>
        <v>1</v>
      </c>
    </row>
    <row r="139" spans="1:17" x14ac:dyDescent="0.25">
      <c r="A139" t="s">
        <v>338</v>
      </c>
      <c r="B139" t="s">
        <v>169</v>
      </c>
      <c r="C139" t="s">
        <v>170</v>
      </c>
      <c r="D139" t="s">
        <v>297</v>
      </c>
      <c r="E139" s="2" t="str">
        <f>VLOOKUP(Tabela1[[#This Row],[Avaliador]],Usuários!A:I,COLUMN($H$1),0)</f>
        <v>guilherme.silva</v>
      </c>
      <c r="F139" s="2" t="str">
        <f>VLOOKUP(Tabela1[[#This Row],[Avaliador]],Usuários!$A:$I,COLUMN($I$1),0)</f>
        <v>942gs!@</v>
      </c>
      <c r="G139" s="2" t="str">
        <f>VLOOKUP(Tabela1[[#This Row],[Participante]],Usuários!$A:$I,COLUMN($H$1),0)</f>
        <v>marcelo.santos</v>
      </c>
      <c r="H139" s="2" t="str">
        <f>VLOOKUP(Tabela1[[#This Row],[Participante]],Usuários!$A:$I,COLUMN($I$1),0)</f>
        <v>020ms!@</v>
      </c>
      <c r="I139" s="1" t="s">
        <v>16</v>
      </c>
      <c r="J139" s="1" t="s">
        <v>16</v>
      </c>
      <c r="K139" t="s">
        <v>170</v>
      </c>
      <c r="L139" t="s">
        <v>307</v>
      </c>
      <c r="M139" t="str">
        <f>IF(Tabela1[[#This Row],[Tipo_aval]]="auto","Ok",IF(ISERROR(VLOOKUP(Tabela1[[#This Row],[Participante]],Atualização!$B:$B,1,FALSE)),"Ok","Atualizar"))</f>
        <v>Ok</v>
      </c>
      <c r="N13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Guilherme Sala Silva</v>
      </c>
      <c r="O139" t="str">
        <f>IF(IFERROR(VLOOKUP(Tabela1[[#This Row],[Novo_Avaliador]],Usuários!$A:$B,2,FALSE),"")="","",IFERROR(VLOOKUP(Tabela1[[#This Row],[Novo_Avaliador]],Usuários!$A:$B,2,FALSE),""))</f>
        <v>guilherme.silva@enind.com.br</v>
      </c>
      <c r="P139" t="str">
        <f>IF(Tabela1[[#This Row],[Novo_Avaliador]]=Tabela1[[#This Row],[Avaliador]],"Sim","Não")</f>
        <v>Sim</v>
      </c>
      <c r="Q139" t="b">
        <f>Tabela1[[#This Row],[email_repres]]=Tabela1[[#This Row],[e-mail novo avaliador]]</f>
        <v>1</v>
      </c>
    </row>
    <row r="140" spans="1:17" x14ac:dyDescent="0.25">
      <c r="A140" s="2" t="s">
        <v>63</v>
      </c>
      <c r="B140" s="2" t="s">
        <v>63</v>
      </c>
      <c r="C140" s="2" t="s">
        <v>431</v>
      </c>
      <c r="D140" s="2" t="s">
        <v>295</v>
      </c>
      <c r="E140" s="2" t="str">
        <f>VLOOKUP(Tabela1[[#This Row],[Avaliador]],Usuários!A:I,COLUMN($H$1),0)</f>
        <v>hillary.karen</v>
      </c>
      <c r="F140" s="2" t="str">
        <f>VLOOKUP(Tabela1[[#This Row],[Avaliador]],Usuários!$A:$I,COLUMN($I$1),0)</f>
        <v>841hk!@</v>
      </c>
      <c r="G140" s="2" t="str">
        <f>VLOOKUP(Tabela1[[#This Row],[Participante]],Usuários!$A:$I,COLUMN($H$1),0)</f>
        <v>hillary.karen</v>
      </c>
      <c r="H140" s="2" t="str">
        <f>VLOOKUP(Tabela1[[#This Row],[Participante]],Usuários!$A:$I,COLUMN($I$1),0)</f>
        <v>841hk!@</v>
      </c>
      <c r="I140" s="1" t="s">
        <v>6</v>
      </c>
      <c r="J140" s="1" t="s">
        <v>16</v>
      </c>
      <c r="K140" t="s">
        <v>172</v>
      </c>
      <c r="L140" t="s">
        <v>309</v>
      </c>
      <c r="M140" t="str">
        <f>IF(Tabela1[[#This Row],[Tipo_aval]]="auto","Ok",IF(ISERROR(VLOOKUP(Tabela1[[#This Row],[Participante]],Atualização!$B:$B,1,FALSE)),"Ok","Atualizar"))</f>
        <v>Ok</v>
      </c>
      <c r="N14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Hillary Karen de Araujo</v>
      </c>
      <c r="O140" t="str">
        <f>IF(IFERROR(VLOOKUP(Tabela1[[#This Row],[Novo_Avaliador]],Usuários!$A:$B,2,FALSE),"")="","",IFERROR(VLOOKUP(Tabela1[[#This Row],[Novo_Avaliador]],Usuários!$A:$B,2,FALSE),""))</f>
        <v>hillary.karen@enind.com.br</v>
      </c>
      <c r="P140" t="str">
        <f>IF(Tabela1[[#This Row],[Novo_Avaliador]]=Tabela1[[#This Row],[Avaliador]],"Sim","Não")</f>
        <v>Sim</v>
      </c>
      <c r="Q140" t="b">
        <f>Tabela1[[#This Row],[email_repres]]=Tabela1[[#This Row],[e-mail novo avaliador]]</f>
        <v>1</v>
      </c>
    </row>
    <row r="141" spans="1:17" x14ac:dyDescent="0.25">
      <c r="A141" t="s">
        <v>8</v>
      </c>
      <c r="B141" t="s">
        <v>8</v>
      </c>
      <c r="C141" t="s">
        <v>173</v>
      </c>
      <c r="D141" t="s">
        <v>295</v>
      </c>
      <c r="E141" s="2" t="str">
        <f>VLOOKUP(Tabela1[[#This Row],[Avaliador]],Usuários!A:I,COLUMN($H$1),0)</f>
        <v>hilton.torres</v>
      </c>
      <c r="F141" s="2" t="str">
        <f>VLOOKUP(Tabela1[[#This Row],[Avaliador]],Usuários!$A:$I,COLUMN($I$1),0)</f>
        <v>867ht!@</v>
      </c>
      <c r="G141" s="2" t="str">
        <f>VLOOKUP(Tabela1[[#This Row],[Participante]],Usuários!$A:$I,COLUMN($H$1),0)</f>
        <v>hilton.torres</v>
      </c>
      <c r="H141" s="2" t="str">
        <f>VLOOKUP(Tabela1[[#This Row],[Participante]],Usuários!$A:$I,COLUMN($I$1),0)</f>
        <v>867ht!@</v>
      </c>
      <c r="I141" s="1" t="s">
        <v>6</v>
      </c>
      <c r="J141" s="1" t="s">
        <v>16</v>
      </c>
      <c r="K141" t="s">
        <v>173</v>
      </c>
      <c r="L141" t="s">
        <v>309</v>
      </c>
      <c r="M141" t="str">
        <f>IF(Tabela1[[#This Row],[Tipo_aval]]="auto","Ok",IF(ISERROR(VLOOKUP(Tabela1[[#This Row],[Participante]],Atualização!$B:$B,1,FALSE)),"Ok","Atualizar"))</f>
        <v>Ok</v>
      </c>
      <c r="N14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41" t="str">
        <f>IF(IFERROR(VLOOKUP(Tabela1[[#This Row],[Novo_Avaliador]],Usuários!$A:$B,2,FALSE),"")="","",IFERROR(VLOOKUP(Tabela1[[#This Row],[Novo_Avaliador]],Usuários!$A:$B,2,FALSE),""))</f>
        <v>hilton.torres@enind.com.br</v>
      </c>
      <c r="P141" t="str">
        <f>IF(Tabela1[[#This Row],[Novo_Avaliador]]=Tabela1[[#This Row],[Avaliador]],"Sim","Não")</f>
        <v>Sim</v>
      </c>
      <c r="Q141" t="b">
        <f>Tabela1[[#This Row],[email_repres]]=Tabela1[[#This Row],[e-mail novo avaliador]]</f>
        <v>1</v>
      </c>
    </row>
    <row r="142" spans="1:17" x14ac:dyDescent="0.25">
      <c r="A142" t="s">
        <v>53</v>
      </c>
      <c r="B142" t="s">
        <v>53</v>
      </c>
      <c r="C142" t="s">
        <v>432</v>
      </c>
      <c r="D142" t="s">
        <v>295</v>
      </c>
      <c r="E142" s="2" t="str">
        <f>VLOOKUP(Tabela1[[#This Row],[Avaliador]],Usuários!A:I,COLUMN($H$1),0)</f>
        <v>marcos.batista</v>
      </c>
      <c r="F142" s="2" t="str">
        <f>VLOOKUP(Tabela1[[#This Row],[Avaliador]],Usuários!$A:$I,COLUMN($I$1),0)</f>
        <v>395mb!@</v>
      </c>
      <c r="G142" s="2" t="str">
        <f>VLOOKUP(Tabela1[[#This Row],[Participante]],Usuários!$A:$I,COLUMN($H$1),0)</f>
        <v>marcos.batista</v>
      </c>
      <c r="H142" s="2" t="str">
        <f>VLOOKUP(Tabela1[[#This Row],[Participante]],Usuários!$A:$I,COLUMN($I$1),0)</f>
        <v>395mb!@</v>
      </c>
      <c r="I142" s="1" t="s">
        <v>16</v>
      </c>
      <c r="J142" s="1" t="s">
        <v>6</v>
      </c>
      <c r="K142" t="s">
        <v>173</v>
      </c>
      <c r="L142" t="s">
        <v>307</v>
      </c>
      <c r="M142" t="str">
        <f>IF(Tabela1[[#This Row],[Tipo_aval]]="auto","Ok",IF(ISERROR(VLOOKUP(Tabela1[[#This Row],[Participante]],Atualização!$B:$B,1,FALSE)),"Ok","Atualizar"))</f>
        <v>Ok</v>
      </c>
      <c r="N14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Batista</v>
      </c>
      <c r="O142" t="str">
        <f>IF(IFERROR(VLOOKUP(Tabela1[[#This Row],[Novo_Avaliador]],Usuários!$A:$B,2,FALSE),"")="","",IFERROR(VLOOKUP(Tabela1[[#This Row],[Novo_Avaliador]],Usuários!$A:$B,2,FALSE),""))</f>
        <v/>
      </c>
      <c r="P142" t="str">
        <f>IF(Tabela1[[#This Row],[Novo_Avaliador]]=Tabela1[[#This Row],[Avaliador]],"Sim","Não")</f>
        <v>Sim</v>
      </c>
      <c r="Q142" t="b">
        <f>Tabela1[[#This Row],[email_repres]]=Tabela1[[#This Row],[e-mail novo avaliador]]</f>
        <v>0</v>
      </c>
    </row>
    <row r="143" spans="1:17" x14ac:dyDescent="0.25">
      <c r="A143" s="2" t="s">
        <v>175</v>
      </c>
      <c r="B143" s="2" t="s">
        <v>8</v>
      </c>
      <c r="C143" s="2" t="s">
        <v>173</v>
      </c>
      <c r="D143" s="2" t="s">
        <v>297</v>
      </c>
      <c r="E143" s="2" t="str">
        <f>VLOOKUP(Tabela1[[#This Row],[Avaliador]],Usuários!A:I,COLUMN($H$1),0)</f>
        <v>hilton.torres</v>
      </c>
      <c r="F143" s="2" t="str">
        <f>VLOOKUP(Tabela1[[#This Row],[Avaliador]],Usuários!$A:$I,COLUMN($I$1),0)</f>
        <v>867ht!@</v>
      </c>
      <c r="G143" s="2" t="str">
        <f>VLOOKUP(Tabela1[[#This Row],[Participante]],Usuários!$A:$I,COLUMN($H$1),0)</f>
        <v>abel.cavalcanti</v>
      </c>
      <c r="H143" s="2" t="str">
        <f>VLOOKUP(Tabela1[[#This Row],[Participante]],Usuários!$A:$I,COLUMN($I$1),0)</f>
        <v>102ac!@</v>
      </c>
      <c r="I143" s="1" t="s">
        <v>6</v>
      </c>
      <c r="J143" s="1" t="s">
        <v>16</v>
      </c>
      <c r="K143" t="s">
        <v>173</v>
      </c>
      <c r="L143" t="s">
        <v>307</v>
      </c>
      <c r="M143" t="str">
        <f>IF(Tabela1[[#This Row],[Tipo_aval]]="auto","Ok",IF(ISERROR(VLOOKUP(Tabela1[[#This Row],[Participante]],Atualização!$B:$B,1,FALSE)),"Ok","Atualizar"))</f>
        <v>Ok</v>
      </c>
      <c r="N14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43" t="str">
        <f>IF(IFERROR(VLOOKUP(Tabela1[[#This Row],[Novo_Avaliador]],Usuários!$A:$B,2,FALSE),"")="","",IFERROR(VLOOKUP(Tabela1[[#This Row],[Novo_Avaliador]],Usuários!$A:$B,2,FALSE),""))</f>
        <v>hilton.torres@enind.com.br</v>
      </c>
      <c r="P143" t="str">
        <f>IF(Tabela1[[#This Row],[Novo_Avaliador]]=Tabela1[[#This Row],[Avaliador]],"Sim","Não")</f>
        <v>Sim</v>
      </c>
      <c r="Q143" t="b">
        <f>Tabela1[[#This Row],[email_repres]]=Tabela1[[#This Row],[e-mail novo avaliador]]</f>
        <v>1</v>
      </c>
    </row>
    <row r="144" spans="1:17" x14ac:dyDescent="0.25">
      <c r="A144" s="2" t="s">
        <v>189</v>
      </c>
      <c r="B144" s="2" t="s">
        <v>53</v>
      </c>
      <c r="C144" s="2" t="s">
        <v>432</v>
      </c>
      <c r="D144" s="2" t="s">
        <v>297</v>
      </c>
      <c r="E144" s="2" t="str">
        <f>VLOOKUP(Tabela1[[#This Row],[Avaliador]],Usuários!A:I,COLUMN($H$1),0)</f>
        <v>marcos.batista</v>
      </c>
      <c r="F144" s="2" t="str">
        <f>VLOOKUP(Tabela1[[#This Row],[Avaliador]],Usuários!$A:$I,COLUMN($I$1),0)</f>
        <v>395mb!@</v>
      </c>
      <c r="G144" s="2" t="str">
        <f>VLOOKUP(Tabela1[[#This Row],[Participante]],Usuários!$A:$I,COLUMN($H$1),0)</f>
        <v>adelmo.sousa</v>
      </c>
      <c r="H144" s="2" t="str">
        <f>VLOOKUP(Tabela1[[#This Row],[Participante]],Usuários!$A:$I,COLUMN($I$1),0)</f>
        <v>752as!@</v>
      </c>
      <c r="I144" s="1" t="s">
        <v>16</v>
      </c>
      <c r="J144" s="1" t="s">
        <v>16</v>
      </c>
      <c r="K144" t="s">
        <v>173</v>
      </c>
      <c r="L144" t="s">
        <v>308</v>
      </c>
      <c r="M144" t="str">
        <f>IF(Tabela1[[#This Row],[Tipo_aval]]="auto","Ok",IF(ISERROR(VLOOKUP(Tabela1[[#This Row],[Participante]],Atualização!$B:$B,1,FALSE)),"Ok","Atualizar"))</f>
        <v>Ok</v>
      </c>
      <c r="N14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Batista</v>
      </c>
      <c r="O144" t="str">
        <f>IF(IFERROR(VLOOKUP(Tabela1[[#This Row],[Novo_Avaliador]],Usuários!$A:$B,2,FALSE),"")="","",IFERROR(VLOOKUP(Tabela1[[#This Row],[Novo_Avaliador]],Usuários!$A:$B,2,FALSE),""))</f>
        <v/>
      </c>
      <c r="P144" t="str">
        <f>IF(Tabela1[[#This Row],[Novo_Avaliador]]=Tabela1[[#This Row],[Avaliador]],"Sim","Não")</f>
        <v>Sim</v>
      </c>
      <c r="Q144" t="b">
        <f>Tabela1[[#This Row],[email_repres]]=Tabela1[[#This Row],[e-mail novo avaliador]]</f>
        <v>0</v>
      </c>
    </row>
    <row r="145" spans="1:17" x14ac:dyDescent="0.25">
      <c r="A145" t="s">
        <v>7</v>
      </c>
      <c r="B145" t="s">
        <v>8</v>
      </c>
      <c r="C145" t="s">
        <v>173</v>
      </c>
      <c r="D145" t="s">
        <v>297</v>
      </c>
      <c r="E145" s="2" t="str">
        <f>VLOOKUP(Tabela1[[#This Row],[Avaliador]],Usuários!A:I,COLUMN($H$1),0)</f>
        <v>hilton.torres</v>
      </c>
      <c r="F145" s="2" t="str">
        <f>VLOOKUP(Tabela1[[#This Row],[Avaliador]],Usuários!$A:$I,COLUMN($I$1),0)</f>
        <v>867ht!@</v>
      </c>
      <c r="G145" s="2" t="str">
        <f>VLOOKUP(Tabela1[[#This Row],[Participante]],Usuários!$A:$I,COLUMN($H$1),0)</f>
        <v>antonio.povoas</v>
      </c>
      <c r="H145" s="2" t="str">
        <f>VLOOKUP(Tabela1[[#This Row],[Participante]],Usuários!$A:$I,COLUMN($I$1),0)</f>
        <v>893ap!@</v>
      </c>
      <c r="I145" s="1" t="s">
        <v>6</v>
      </c>
      <c r="J145" s="1" t="s">
        <v>16</v>
      </c>
      <c r="K145" t="s">
        <v>173</v>
      </c>
      <c r="L145" t="s">
        <v>307</v>
      </c>
      <c r="M145" t="str">
        <f>IF(Tabela1[[#This Row],[Tipo_aval]]="auto","Ok",IF(ISERROR(VLOOKUP(Tabela1[[#This Row],[Participante]],Atualização!$B:$B,1,FALSE)),"Ok","Atualizar"))</f>
        <v>Ok</v>
      </c>
      <c r="N14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45" t="str">
        <f>IF(IFERROR(VLOOKUP(Tabela1[[#This Row],[Novo_Avaliador]],Usuários!$A:$B,2,FALSE),"")="","",IFERROR(VLOOKUP(Tabela1[[#This Row],[Novo_Avaliador]],Usuários!$A:$B,2,FALSE),""))</f>
        <v>hilton.torres@enind.com.br</v>
      </c>
      <c r="P145" t="str">
        <f>IF(Tabela1[[#This Row],[Novo_Avaliador]]=Tabela1[[#This Row],[Avaliador]],"Sim","Não")</f>
        <v>Sim</v>
      </c>
      <c r="Q145" t="b">
        <f>Tabela1[[#This Row],[email_repres]]=Tabela1[[#This Row],[e-mail novo avaliador]]</f>
        <v>1</v>
      </c>
    </row>
    <row r="146" spans="1:17" x14ac:dyDescent="0.25">
      <c r="A146" s="2" t="s">
        <v>187</v>
      </c>
      <c r="B146" s="2" t="s">
        <v>42</v>
      </c>
      <c r="C146" s="6" t="s">
        <v>433</v>
      </c>
      <c r="D146" s="2" t="s">
        <v>297</v>
      </c>
      <c r="E146" s="2" t="str">
        <f>VLOOKUP(Tabela1[[#This Row],[Avaliador]],Usuários!A:I,COLUMN($H$1),0)</f>
        <v>fabio.serejo</v>
      </c>
      <c r="F146" s="2" t="str">
        <f>VLOOKUP(Tabela1[[#This Row],[Avaliador]],Usuários!$A:$I,COLUMN($I$1),0)</f>
        <v>784fs!@</v>
      </c>
      <c r="G146" s="2" t="str">
        <f>VLOOKUP(Tabela1[[#This Row],[Participante]],Usuários!$A:$I,COLUMN($H$1),0)</f>
        <v>arnaldo.teixeira</v>
      </c>
      <c r="H146" s="2" t="str">
        <f>VLOOKUP(Tabela1[[#This Row],[Participante]],Usuários!$A:$I,COLUMN($I$1),0)</f>
        <v>745at!@</v>
      </c>
      <c r="I146" s="1" t="s">
        <v>16</v>
      </c>
      <c r="J146" s="1" t="s">
        <v>6</v>
      </c>
      <c r="K146" t="s">
        <v>173</v>
      </c>
      <c r="L146" t="s">
        <v>308</v>
      </c>
      <c r="M146" t="str">
        <f>IF(Tabela1[[#This Row],[Tipo_aval]]="auto","Ok",IF(ISERROR(VLOOKUP(Tabela1[[#This Row],[Participante]],Atualização!$B:$B,1,FALSE)),"Ok","Atualizar"))</f>
        <v>Ok</v>
      </c>
      <c r="N14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Fabio de Oliveira Serejo</v>
      </c>
      <c r="O146" t="str">
        <f>IF(IFERROR(VLOOKUP(Tabela1[[#This Row],[Novo_Avaliador]],Usuários!$A:$B,2,FALSE),"")="","",IFERROR(VLOOKUP(Tabela1[[#This Row],[Novo_Avaliador]],Usuários!$A:$B,2,FALSE),""))</f>
        <v/>
      </c>
      <c r="P146" t="str">
        <f>IF(Tabela1[[#This Row],[Novo_Avaliador]]=Tabela1[[#This Row],[Avaliador]],"Sim","Não")</f>
        <v>Sim</v>
      </c>
      <c r="Q146" t="b">
        <f>Tabela1[[#This Row],[email_repres]]=Tabela1[[#This Row],[e-mail novo avaliador]]</f>
        <v>0</v>
      </c>
    </row>
    <row r="147" spans="1:17" x14ac:dyDescent="0.25">
      <c r="A147" s="2" t="s">
        <v>30</v>
      </c>
      <c r="B147" s="2" t="s">
        <v>8</v>
      </c>
      <c r="C147" s="2" t="s">
        <v>173</v>
      </c>
      <c r="D147" s="2" t="s">
        <v>297</v>
      </c>
      <c r="E147" s="2" t="str">
        <f>VLOOKUP(Tabela1[[#This Row],[Avaliador]],Usuários!A:I,COLUMN($H$1),0)</f>
        <v>hilton.torres</v>
      </c>
      <c r="F147" s="2" t="str">
        <f>VLOOKUP(Tabela1[[#This Row],[Avaliador]],Usuários!$A:$I,COLUMN($I$1),0)</f>
        <v>867ht!@</v>
      </c>
      <c r="G147" s="2" t="str">
        <f>VLOOKUP(Tabela1[[#This Row],[Participante]],Usuários!$A:$I,COLUMN($H$1),0)</f>
        <v>devani.dantas</v>
      </c>
      <c r="H147" s="2" t="str">
        <f>VLOOKUP(Tabela1[[#This Row],[Participante]],Usuários!$A:$I,COLUMN($I$1),0)</f>
        <v>180dd!@</v>
      </c>
      <c r="I147" s="1" t="s">
        <v>6</v>
      </c>
      <c r="J147" s="1" t="s">
        <v>16</v>
      </c>
      <c r="K147" t="s">
        <v>173</v>
      </c>
      <c r="L147" t="s">
        <v>307</v>
      </c>
      <c r="M147" t="str">
        <f>IF(Tabela1[[#This Row],[Tipo_aval]]="auto","Ok",IF(ISERROR(VLOOKUP(Tabela1[[#This Row],[Participante]],Atualização!$B:$B,1,FALSE)),"Ok","Atualizar"))</f>
        <v>Ok</v>
      </c>
      <c r="N14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47" t="str">
        <f>IF(IFERROR(VLOOKUP(Tabela1[[#This Row],[Novo_Avaliador]],Usuários!$A:$B,2,FALSE),"")="","",IFERROR(VLOOKUP(Tabela1[[#This Row],[Novo_Avaliador]],Usuários!$A:$B,2,FALSE),""))</f>
        <v>hilton.torres@enind.com.br</v>
      </c>
      <c r="P147" t="str">
        <f>IF(Tabela1[[#This Row],[Novo_Avaliador]]=Tabela1[[#This Row],[Avaliador]],"Sim","Não")</f>
        <v>Sim</v>
      </c>
      <c r="Q147" t="b">
        <f>Tabela1[[#This Row],[email_repres]]=Tabela1[[#This Row],[e-mail novo avaliador]]</f>
        <v>1</v>
      </c>
    </row>
    <row r="148" spans="1:17" x14ac:dyDescent="0.25">
      <c r="A148" s="2" t="s">
        <v>32</v>
      </c>
      <c r="B148" s="2" t="s">
        <v>8</v>
      </c>
      <c r="C148" s="2" t="s">
        <v>173</v>
      </c>
      <c r="D148" s="2" t="s">
        <v>297</v>
      </c>
      <c r="E148" s="2" t="str">
        <f>VLOOKUP(Tabela1[[#This Row],[Avaliador]],Usuários!A:I,COLUMN($H$1),0)</f>
        <v>hilton.torres</v>
      </c>
      <c r="F148" s="2" t="str">
        <f>VLOOKUP(Tabela1[[#This Row],[Avaliador]],Usuários!$A:$I,COLUMN($I$1),0)</f>
        <v>867ht!@</v>
      </c>
      <c r="G148" s="2" t="str">
        <f>VLOOKUP(Tabela1[[#This Row],[Participante]],Usuários!$A:$I,COLUMN($H$1),0)</f>
        <v>devanir.magalhaes</v>
      </c>
      <c r="H148" s="2" t="str">
        <f>VLOOKUP(Tabela1[[#This Row],[Participante]],Usuários!$A:$I,COLUMN($I$1),0)</f>
        <v>639dm!@</v>
      </c>
      <c r="I148" s="1" t="s">
        <v>6</v>
      </c>
      <c r="J148" s="1" t="s">
        <v>16</v>
      </c>
      <c r="K148" t="s">
        <v>173</v>
      </c>
      <c r="L148" t="s">
        <v>308</v>
      </c>
      <c r="M148" t="str">
        <f>IF(Tabela1[[#This Row],[Tipo_aval]]="auto","Ok",IF(ISERROR(VLOOKUP(Tabela1[[#This Row],[Participante]],Atualização!$B:$B,1,FALSE)),"Ok","Atualizar"))</f>
        <v>Ok</v>
      </c>
      <c r="N14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48" t="str">
        <f>IF(IFERROR(VLOOKUP(Tabela1[[#This Row],[Novo_Avaliador]],Usuários!$A:$B,2,FALSE),"")="","",IFERROR(VLOOKUP(Tabela1[[#This Row],[Novo_Avaliador]],Usuários!$A:$B,2,FALSE),""))</f>
        <v>hilton.torres@enind.com.br</v>
      </c>
      <c r="P148" t="str">
        <f>IF(Tabela1[[#This Row],[Novo_Avaliador]]=Tabela1[[#This Row],[Avaliador]],"Sim","Não")</f>
        <v>Sim</v>
      </c>
      <c r="Q148" t="b">
        <f>Tabela1[[#This Row],[email_repres]]=Tabela1[[#This Row],[e-mail novo avaliador]]</f>
        <v>1</v>
      </c>
    </row>
    <row r="149" spans="1:17" x14ac:dyDescent="0.25">
      <c r="A149" s="2" t="s">
        <v>109</v>
      </c>
      <c r="B149" s="2" t="s">
        <v>8</v>
      </c>
      <c r="C149" s="2" t="s">
        <v>173</v>
      </c>
      <c r="D149" s="2" t="s">
        <v>297</v>
      </c>
      <c r="E149" s="2" t="str">
        <f>VLOOKUP(Tabela1[[#This Row],[Avaliador]],Usuários!A:I,COLUMN($H$1),0)</f>
        <v>hilton.torres</v>
      </c>
      <c r="F149" s="2" t="str">
        <f>VLOOKUP(Tabela1[[#This Row],[Avaliador]],Usuários!$A:$I,COLUMN($I$1),0)</f>
        <v>867ht!@</v>
      </c>
      <c r="G149" s="2" t="str">
        <f>VLOOKUP(Tabela1[[#This Row],[Participante]],Usuários!$A:$I,COLUMN($H$1),0)</f>
        <v>emerson.bonotto</v>
      </c>
      <c r="H149" s="2" t="str">
        <f>VLOOKUP(Tabela1[[#This Row],[Participante]],Usuários!$A:$I,COLUMN($I$1),0)</f>
        <v>645eb!@</v>
      </c>
      <c r="I149" s="1" t="s">
        <v>16</v>
      </c>
      <c r="J149" s="1" t="s">
        <v>16</v>
      </c>
      <c r="K149" t="s">
        <v>173</v>
      </c>
      <c r="L149" t="s">
        <v>307</v>
      </c>
      <c r="M149" t="str">
        <f>IF(Tabela1[[#This Row],[Tipo_aval]]="auto","Ok",IF(ISERROR(VLOOKUP(Tabela1[[#This Row],[Participante]],Atualização!$B:$B,1,FALSE)),"Ok","Atualizar"))</f>
        <v>Ok</v>
      </c>
      <c r="N14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49" t="str">
        <f>IF(IFERROR(VLOOKUP(Tabela1[[#This Row],[Novo_Avaliador]],Usuários!$A:$B,2,FALSE),"")="","",IFERROR(VLOOKUP(Tabela1[[#This Row],[Novo_Avaliador]],Usuários!$A:$B,2,FALSE),""))</f>
        <v>hilton.torres@enind.com.br</v>
      </c>
      <c r="P149" t="str">
        <f>IF(Tabela1[[#This Row],[Novo_Avaliador]]=Tabela1[[#This Row],[Avaliador]],"Sim","Não")</f>
        <v>Sim</v>
      </c>
      <c r="Q149" t="b">
        <f>Tabela1[[#This Row],[email_repres]]=Tabela1[[#This Row],[e-mail novo avaliador]]</f>
        <v>1</v>
      </c>
    </row>
    <row r="150" spans="1:17" x14ac:dyDescent="0.25">
      <c r="A150" s="2" t="s">
        <v>42</v>
      </c>
      <c r="B150" s="2" t="s">
        <v>8</v>
      </c>
      <c r="C150" s="2" t="s">
        <v>173</v>
      </c>
      <c r="D150" s="2" t="s">
        <v>297</v>
      </c>
      <c r="E150" s="2" t="str">
        <f>VLOOKUP(Tabela1[[#This Row],[Avaliador]],Usuários!A:I,COLUMN($H$1),0)</f>
        <v>hilton.torres</v>
      </c>
      <c r="F150" s="2" t="str">
        <f>VLOOKUP(Tabela1[[#This Row],[Avaliador]],Usuários!$A:$I,COLUMN($I$1),0)</f>
        <v>867ht!@</v>
      </c>
      <c r="G150" s="2" t="str">
        <f>VLOOKUP(Tabela1[[#This Row],[Participante]],Usuários!$A:$I,COLUMN($H$1),0)</f>
        <v>fabio.serejo</v>
      </c>
      <c r="H150" s="2" t="str">
        <f>VLOOKUP(Tabela1[[#This Row],[Participante]],Usuários!$A:$I,COLUMN($I$1),0)</f>
        <v>784fs!@</v>
      </c>
      <c r="I150" s="1" t="s">
        <v>6</v>
      </c>
      <c r="J150" s="1" t="s">
        <v>16</v>
      </c>
      <c r="K150" t="s">
        <v>173</v>
      </c>
      <c r="L150" t="s">
        <v>307</v>
      </c>
      <c r="M150" t="str">
        <f>IF(Tabela1[[#This Row],[Tipo_aval]]="auto","Ok",IF(ISERROR(VLOOKUP(Tabela1[[#This Row],[Participante]],Atualização!$B:$B,1,FALSE)),"Ok","Atualizar"))</f>
        <v>Ok</v>
      </c>
      <c r="N15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0" t="str">
        <f>IF(IFERROR(VLOOKUP(Tabela1[[#This Row],[Novo_Avaliador]],Usuários!$A:$B,2,FALSE),"")="","",IFERROR(VLOOKUP(Tabela1[[#This Row],[Novo_Avaliador]],Usuários!$A:$B,2,FALSE),""))</f>
        <v>hilton.torres@enind.com.br</v>
      </c>
      <c r="P150" t="str">
        <f>IF(Tabela1[[#This Row],[Novo_Avaliador]]=Tabela1[[#This Row],[Avaliador]],"Sim","Não")</f>
        <v>Sim</v>
      </c>
      <c r="Q150" t="b">
        <f>Tabela1[[#This Row],[email_repres]]=Tabela1[[#This Row],[e-mail novo avaliador]]</f>
        <v>1</v>
      </c>
    </row>
    <row r="151" spans="1:17" x14ac:dyDescent="0.25">
      <c r="A151" s="2" t="s">
        <v>46</v>
      </c>
      <c r="B151" s="2" t="s">
        <v>8</v>
      </c>
      <c r="C151" s="2" t="s">
        <v>173</v>
      </c>
      <c r="D151" s="2" t="s">
        <v>297</v>
      </c>
      <c r="E151" s="2" t="str">
        <f>VLOOKUP(Tabela1[[#This Row],[Avaliador]],Usuários!A:I,COLUMN($H$1),0)</f>
        <v>hilton.torres</v>
      </c>
      <c r="F151" s="2" t="str">
        <f>VLOOKUP(Tabela1[[#This Row],[Avaliador]],Usuários!$A:$I,COLUMN($I$1),0)</f>
        <v>867ht!@</v>
      </c>
      <c r="G151" s="2" t="str">
        <f>VLOOKUP(Tabela1[[#This Row],[Participante]],Usuários!$A:$I,COLUMN($H$1),0)</f>
        <v>joao.silva</v>
      </c>
      <c r="H151" s="2" t="str">
        <f>VLOOKUP(Tabela1[[#This Row],[Participante]],Usuários!$A:$I,COLUMN($I$1),0)</f>
        <v>878js!@</v>
      </c>
      <c r="I151" s="1" t="s">
        <v>6</v>
      </c>
      <c r="J151" s="1" t="s">
        <v>16</v>
      </c>
      <c r="K151" t="s">
        <v>173</v>
      </c>
      <c r="L151" t="s">
        <v>307</v>
      </c>
      <c r="M151" t="str">
        <f>IF(Tabela1[[#This Row],[Tipo_aval]]="auto","Ok",IF(ISERROR(VLOOKUP(Tabela1[[#This Row],[Participante]],Atualização!$B:$B,1,FALSE)),"Ok","Atualizar"))</f>
        <v>Ok</v>
      </c>
      <c r="N15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1" t="str">
        <f>IF(IFERROR(VLOOKUP(Tabela1[[#This Row],[Novo_Avaliador]],Usuários!$A:$B,2,FALSE),"")="","",IFERROR(VLOOKUP(Tabela1[[#This Row],[Novo_Avaliador]],Usuários!$A:$B,2,FALSE),""))</f>
        <v>hilton.torres@enind.com.br</v>
      </c>
      <c r="P151" t="str">
        <f>IF(Tabela1[[#This Row],[Novo_Avaliador]]=Tabela1[[#This Row],[Avaliador]],"Sim","Não")</f>
        <v>Sim</v>
      </c>
      <c r="Q151" t="b">
        <f>Tabela1[[#This Row],[email_repres]]=Tabela1[[#This Row],[e-mail novo avaliador]]</f>
        <v>1</v>
      </c>
    </row>
    <row r="152" spans="1:17" x14ac:dyDescent="0.25">
      <c r="A152" t="s">
        <v>181</v>
      </c>
      <c r="B152" t="s">
        <v>8</v>
      </c>
      <c r="C152" t="s">
        <v>173</v>
      </c>
      <c r="D152" t="s">
        <v>297</v>
      </c>
      <c r="E152" s="2" t="str">
        <f>VLOOKUP(Tabela1[[#This Row],[Avaliador]],Usuários!A:I,COLUMN($H$1),0)</f>
        <v>hilton.torres</v>
      </c>
      <c r="F152" s="2" t="str">
        <f>VLOOKUP(Tabela1[[#This Row],[Avaliador]],Usuários!$A:$I,COLUMN($I$1),0)</f>
        <v>867ht!@</v>
      </c>
      <c r="G152" s="2" t="str">
        <f>VLOOKUP(Tabela1[[#This Row],[Participante]],Usuários!$A:$I,COLUMN($H$1),0)</f>
        <v>josenildo.souza</v>
      </c>
      <c r="H152" s="2" t="str">
        <f>VLOOKUP(Tabela1[[#This Row],[Participante]],Usuários!$A:$I,COLUMN($I$1),0)</f>
        <v>250js!@</v>
      </c>
      <c r="I152" s="1" t="s">
        <v>6</v>
      </c>
      <c r="J152" s="1" t="s">
        <v>16</v>
      </c>
      <c r="K152" t="s">
        <v>173</v>
      </c>
      <c r="L152" t="s">
        <v>307</v>
      </c>
      <c r="M152" t="str">
        <f>IF(Tabela1[[#This Row],[Tipo_aval]]="auto","Ok",IF(ISERROR(VLOOKUP(Tabela1[[#This Row],[Participante]],Atualização!$B:$B,1,FALSE)),"Ok","Atualizar"))</f>
        <v>Ok</v>
      </c>
      <c r="N15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2" t="str">
        <f>IF(IFERROR(VLOOKUP(Tabela1[[#This Row],[Novo_Avaliador]],Usuários!$A:$B,2,FALSE),"")="","",IFERROR(VLOOKUP(Tabela1[[#This Row],[Novo_Avaliador]],Usuários!$A:$B,2,FALSE),""))</f>
        <v>hilton.torres@enind.com.br</v>
      </c>
      <c r="P152" t="str">
        <f>IF(Tabela1[[#This Row],[Novo_Avaliador]]=Tabela1[[#This Row],[Avaliador]],"Sim","Não")</f>
        <v>Sim</v>
      </c>
      <c r="Q152" t="b">
        <f>Tabela1[[#This Row],[email_repres]]=Tabela1[[#This Row],[e-mail novo avaliador]]</f>
        <v>1</v>
      </c>
    </row>
    <row r="153" spans="1:17" x14ac:dyDescent="0.25">
      <c r="A153" t="s">
        <v>53</v>
      </c>
      <c r="B153" t="s">
        <v>8</v>
      </c>
      <c r="C153" t="s">
        <v>173</v>
      </c>
      <c r="D153" t="s">
        <v>297</v>
      </c>
      <c r="E153" s="2" t="str">
        <f>VLOOKUP(Tabela1[[#This Row],[Avaliador]],Usuários!A:I,COLUMN($H$1),0)</f>
        <v>hilton.torres</v>
      </c>
      <c r="F153" s="2" t="str">
        <f>VLOOKUP(Tabela1[[#This Row],[Avaliador]],Usuários!$A:$I,COLUMN($I$1),0)</f>
        <v>867ht!@</v>
      </c>
      <c r="G153" s="2" t="str">
        <f>VLOOKUP(Tabela1[[#This Row],[Participante]],Usuários!$A:$I,COLUMN($H$1),0)</f>
        <v>marcos.batista</v>
      </c>
      <c r="H153" s="2" t="str">
        <f>VLOOKUP(Tabela1[[#This Row],[Participante]],Usuários!$A:$I,COLUMN($I$1),0)</f>
        <v>395mb!@</v>
      </c>
      <c r="I153" s="1" t="s">
        <v>6</v>
      </c>
      <c r="J153" s="1" t="s">
        <v>16</v>
      </c>
      <c r="K153" t="s">
        <v>173</v>
      </c>
      <c r="L153" t="s">
        <v>307</v>
      </c>
      <c r="M153" t="str">
        <f>IF(Tabela1[[#This Row],[Tipo_aval]]="auto","Ok",IF(ISERROR(VLOOKUP(Tabela1[[#This Row],[Participante]],Atualização!$B:$B,1,FALSE)),"Ok","Atualizar"))</f>
        <v>Ok</v>
      </c>
      <c r="N15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3" t="str">
        <f>IF(IFERROR(VLOOKUP(Tabela1[[#This Row],[Novo_Avaliador]],Usuários!$A:$B,2,FALSE),"")="","",IFERROR(VLOOKUP(Tabela1[[#This Row],[Novo_Avaliador]],Usuários!$A:$B,2,FALSE),""))</f>
        <v>hilton.torres@enind.com.br</v>
      </c>
      <c r="P153" t="str">
        <f>IF(Tabela1[[#This Row],[Novo_Avaliador]]=Tabela1[[#This Row],[Avaliador]],"Sim","Não")</f>
        <v>Sim</v>
      </c>
      <c r="Q153" t="b">
        <f>Tabela1[[#This Row],[email_repres]]=Tabela1[[#This Row],[e-mail novo avaliador]]</f>
        <v>1</v>
      </c>
    </row>
    <row r="154" spans="1:17" x14ac:dyDescent="0.25">
      <c r="A154" s="2" t="s">
        <v>191</v>
      </c>
      <c r="B154" s="2" t="s">
        <v>53</v>
      </c>
      <c r="C154" s="2" t="s">
        <v>432</v>
      </c>
      <c r="D154" s="2" t="s">
        <v>297</v>
      </c>
      <c r="E154" s="2" t="str">
        <f>VLOOKUP(Tabela1[[#This Row],[Avaliador]],Usuários!A:I,COLUMN($H$1),0)</f>
        <v>marcos.batista</v>
      </c>
      <c r="F154" s="2" t="str">
        <f>VLOOKUP(Tabela1[[#This Row],[Avaliador]],Usuários!$A:$I,COLUMN($I$1),0)</f>
        <v>395mb!@</v>
      </c>
      <c r="G154" s="2" t="str">
        <f>VLOOKUP(Tabela1[[#This Row],[Participante]],Usuários!$A:$I,COLUMN($H$1),0)</f>
        <v>mauro.costa</v>
      </c>
      <c r="H154" s="2" t="str">
        <f>VLOOKUP(Tabela1[[#This Row],[Participante]],Usuários!$A:$I,COLUMN($I$1),0)</f>
        <v>675mc!@</v>
      </c>
      <c r="I154" s="1" t="s">
        <v>16</v>
      </c>
      <c r="J154" s="1" t="s">
        <v>16</v>
      </c>
      <c r="K154" t="s">
        <v>173</v>
      </c>
      <c r="L154" t="s">
        <v>308</v>
      </c>
      <c r="M154" t="str">
        <f>IF(Tabela1[[#This Row],[Tipo_aval]]="auto","Ok",IF(ISERROR(VLOOKUP(Tabela1[[#This Row],[Participante]],Atualização!$B:$B,1,FALSE)),"Ok","Atualizar"))</f>
        <v>Ok</v>
      </c>
      <c r="N15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Batista</v>
      </c>
      <c r="O154" t="str">
        <f>IF(IFERROR(VLOOKUP(Tabela1[[#This Row],[Novo_Avaliador]],Usuários!$A:$B,2,FALSE),"")="","",IFERROR(VLOOKUP(Tabela1[[#This Row],[Novo_Avaliador]],Usuários!$A:$B,2,FALSE),""))</f>
        <v/>
      </c>
      <c r="P154" t="str">
        <f>IF(Tabela1[[#This Row],[Novo_Avaliador]]=Tabela1[[#This Row],[Avaliador]],"Sim","Não")</f>
        <v>Sim</v>
      </c>
      <c r="Q154" t="b">
        <f>Tabela1[[#This Row],[email_repres]]=Tabela1[[#This Row],[e-mail novo avaliador]]</f>
        <v>0</v>
      </c>
    </row>
    <row r="155" spans="1:17" x14ac:dyDescent="0.25">
      <c r="A155" s="2" t="s">
        <v>185</v>
      </c>
      <c r="B155" s="2" t="s">
        <v>8</v>
      </c>
      <c r="C155" s="2" t="s">
        <v>173</v>
      </c>
      <c r="D155" s="2" t="s">
        <v>297</v>
      </c>
      <c r="E155" s="2" t="str">
        <f>VLOOKUP(Tabela1[[#This Row],[Avaliador]],Usuários!A:I,COLUMN($H$1),0)</f>
        <v>hilton.torres</v>
      </c>
      <c r="F155" s="2" t="str">
        <f>VLOOKUP(Tabela1[[#This Row],[Avaliador]],Usuários!$A:$I,COLUMN($I$1),0)</f>
        <v>867ht!@</v>
      </c>
      <c r="G155" s="2" t="str">
        <f>VLOOKUP(Tabela1[[#This Row],[Participante]],Usuários!$A:$I,COLUMN($H$1),0)</f>
        <v>miriam.carvalho</v>
      </c>
      <c r="H155" s="2" t="str">
        <f>VLOOKUP(Tabela1[[#This Row],[Participante]],Usuários!$A:$I,COLUMN($I$1),0)</f>
        <v>212mc!@</v>
      </c>
      <c r="I155" s="1" t="s">
        <v>16</v>
      </c>
      <c r="J155" s="1" t="s">
        <v>16</v>
      </c>
      <c r="K155" t="s">
        <v>173</v>
      </c>
      <c r="L155" t="s">
        <v>307</v>
      </c>
      <c r="M155" t="str">
        <f>IF(Tabela1[[#This Row],[Tipo_aval]]="auto","Ok",IF(ISERROR(VLOOKUP(Tabela1[[#This Row],[Participante]],Atualização!$B:$B,1,FALSE)),"Ok","Atualizar"))</f>
        <v>Ok</v>
      </c>
      <c r="N15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5" t="str">
        <f>IF(IFERROR(VLOOKUP(Tabela1[[#This Row],[Novo_Avaliador]],Usuários!$A:$B,2,FALSE),"")="","",IFERROR(VLOOKUP(Tabela1[[#This Row],[Novo_Avaliador]],Usuários!$A:$B,2,FALSE),""))</f>
        <v>hilton.torres@enind.com.br</v>
      </c>
      <c r="P155" t="str">
        <f>IF(Tabela1[[#This Row],[Novo_Avaliador]]=Tabela1[[#This Row],[Avaliador]],"Sim","Não")</f>
        <v>Sim</v>
      </c>
      <c r="Q155" t="b">
        <f>Tabela1[[#This Row],[email_repres]]=Tabela1[[#This Row],[e-mail novo avaliador]]</f>
        <v>1</v>
      </c>
    </row>
    <row r="156" spans="1:17" x14ac:dyDescent="0.25">
      <c r="A156" s="2" t="s">
        <v>189</v>
      </c>
      <c r="B156" s="2" t="s">
        <v>8</v>
      </c>
      <c r="C156" s="2" t="s">
        <v>173</v>
      </c>
      <c r="D156" s="2" t="s">
        <v>303</v>
      </c>
      <c r="E156" s="2" t="str">
        <f>VLOOKUP(Tabela1[[#This Row],[Avaliador]],Usuários!A:I,COLUMN($H$1),0)</f>
        <v>hilton.torres</v>
      </c>
      <c r="F156" s="2" t="str">
        <f>VLOOKUP(Tabela1[[#This Row],[Avaliador]],Usuários!$A:$I,COLUMN($I$1),0)</f>
        <v>867ht!@</v>
      </c>
      <c r="G156" s="2" t="str">
        <f>VLOOKUP(Tabela1[[#This Row],[Participante]],Usuários!$A:$I,COLUMN($H$1),0)</f>
        <v>adelmo.sousa</v>
      </c>
      <c r="H156" s="2" t="str">
        <f>VLOOKUP(Tabela1[[#This Row],[Participante]],Usuários!$A:$I,COLUMN($I$1),0)</f>
        <v>752as!@</v>
      </c>
      <c r="I156" s="1" t="s">
        <v>6</v>
      </c>
      <c r="J156" s="1" t="s">
        <v>16</v>
      </c>
      <c r="K156" t="s">
        <v>173</v>
      </c>
      <c r="L156" t="s">
        <v>308</v>
      </c>
      <c r="M156" t="str">
        <f>IF(Tabela1[[#This Row],[Tipo_aval]]="auto","Ok",IF(ISERROR(VLOOKUP(Tabela1[[#This Row],[Participante]],Atualização!$B:$B,1,FALSE)),"Ok","Atualizar"))</f>
        <v>Ok</v>
      </c>
      <c r="N15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6" t="str">
        <f>IF(IFERROR(VLOOKUP(Tabela1[[#This Row],[Novo_Avaliador]],Usuários!$A:$B,2,FALSE),"")="","",IFERROR(VLOOKUP(Tabela1[[#This Row],[Novo_Avaliador]],Usuários!$A:$B,2,FALSE),""))</f>
        <v>hilton.torres@enind.com.br</v>
      </c>
      <c r="P156" t="str">
        <f>IF(Tabela1[[#This Row],[Novo_Avaliador]]=Tabela1[[#This Row],[Avaliador]],"Sim","Não")</f>
        <v>Sim</v>
      </c>
      <c r="Q156" t="b">
        <f>Tabela1[[#This Row],[email_repres]]=Tabela1[[#This Row],[e-mail novo avaliador]]</f>
        <v>1</v>
      </c>
    </row>
    <row r="157" spans="1:17" x14ac:dyDescent="0.25">
      <c r="A157" s="2" t="s">
        <v>187</v>
      </c>
      <c r="B157" s="2" t="s">
        <v>8</v>
      </c>
      <c r="C157" s="2" t="s">
        <v>173</v>
      </c>
      <c r="D157" s="2" t="s">
        <v>303</v>
      </c>
      <c r="E157" s="2" t="str">
        <f>VLOOKUP(Tabela1[[#This Row],[Avaliador]],Usuários!A:I,COLUMN($H$1),0)</f>
        <v>hilton.torres</v>
      </c>
      <c r="F157" s="2" t="str">
        <f>VLOOKUP(Tabela1[[#This Row],[Avaliador]],Usuários!$A:$I,COLUMN($I$1),0)</f>
        <v>867ht!@</v>
      </c>
      <c r="G157" s="2" t="str">
        <f>VLOOKUP(Tabela1[[#This Row],[Participante]],Usuários!$A:$I,COLUMN($H$1),0)</f>
        <v>arnaldo.teixeira</v>
      </c>
      <c r="H157" s="2" t="str">
        <f>VLOOKUP(Tabela1[[#This Row],[Participante]],Usuários!$A:$I,COLUMN($I$1),0)</f>
        <v>745at!@</v>
      </c>
      <c r="I157" s="1" t="s">
        <v>6</v>
      </c>
      <c r="J157" s="1" t="s">
        <v>16</v>
      </c>
      <c r="K157" t="s">
        <v>173</v>
      </c>
      <c r="L157" t="s">
        <v>308</v>
      </c>
      <c r="M157" t="str">
        <f>IF(Tabela1[[#This Row],[Tipo_aval]]="auto","Ok",IF(ISERROR(VLOOKUP(Tabela1[[#This Row],[Participante]],Atualização!$B:$B,1,FALSE)),"Ok","Atualizar"))</f>
        <v>Ok</v>
      </c>
      <c r="N15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7" t="str">
        <f>IF(IFERROR(VLOOKUP(Tabela1[[#This Row],[Novo_Avaliador]],Usuários!$A:$B,2,FALSE),"")="","",IFERROR(VLOOKUP(Tabela1[[#This Row],[Novo_Avaliador]],Usuários!$A:$B,2,FALSE),""))</f>
        <v>hilton.torres@enind.com.br</v>
      </c>
      <c r="P157" t="str">
        <f>IF(Tabela1[[#This Row],[Novo_Avaliador]]=Tabela1[[#This Row],[Avaliador]],"Sim","Não")</f>
        <v>Sim</v>
      </c>
      <c r="Q157" t="b">
        <f>Tabela1[[#This Row],[email_repres]]=Tabela1[[#This Row],[e-mail novo avaliador]]</f>
        <v>1</v>
      </c>
    </row>
    <row r="158" spans="1:17" x14ac:dyDescent="0.25">
      <c r="A158" t="s">
        <v>191</v>
      </c>
      <c r="B158" t="s">
        <v>8</v>
      </c>
      <c r="C158" t="s">
        <v>173</v>
      </c>
      <c r="D158" t="s">
        <v>303</v>
      </c>
      <c r="E158" s="2" t="str">
        <f>VLOOKUP(Tabela1[[#This Row],[Avaliador]],Usuários!A:I,COLUMN($H$1),0)</f>
        <v>hilton.torres</v>
      </c>
      <c r="F158" s="2" t="str">
        <f>VLOOKUP(Tabela1[[#This Row],[Avaliador]],Usuários!$A:$I,COLUMN($I$1),0)</f>
        <v>867ht!@</v>
      </c>
      <c r="G158" s="2" t="str">
        <f>VLOOKUP(Tabela1[[#This Row],[Participante]],Usuários!$A:$I,COLUMN($H$1),0)</f>
        <v>mauro.costa</v>
      </c>
      <c r="H158" s="2" t="str">
        <f>VLOOKUP(Tabela1[[#This Row],[Participante]],Usuários!$A:$I,COLUMN($I$1),0)</f>
        <v>675mc!@</v>
      </c>
      <c r="I158" s="1" t="s">
        <v>6</v>
      </c>
      <c r="J158" s="1" t="s">
        <v>16</v>
      </c>
      <c r="K158" t="s">
        <v>173</v>
      </c>
      <c r="L158" t="s">
        <v>308</v>
      </c>
      <c r="M158" t="str">
        <f>IF(Tabela1[[#This Row],[Tipo_aval]]="auto","Ok",IF(ISERROR(VLOOKUP(Tabela1[[#This Row],[Participante]],Atualização!$B:$B,1,FALSE)),"Ok","Atualizar"))</f>
        <v>Ok</v>
      </c>
      <c r="N15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8" t="str">
        <f>IF(IFERROR(VLOOKUP(Tabela1[[#This Row],[Novo_Avaliador]],Usuários!$A:$B,2,FALSE),"")="","",IFERROR(VLOOKUP(Tabela1[[#This Row],[Novo_Avaliador]],Usuários!$A:$B,2,FALSE),""))</f>
        <v>hilton.torres@enind.com.br</v>
      </c>
      <c r="P158" t="str">
        <f>IF(Tabela1[[#This Row],[Novo_Avaliador]]=Tabela1[[#This Row],[Avaliador]],"Sim","Não")</f>
        <v>Sim</v>
      </c>
      <c r="Q158" t="b">
        <f>Tabela1[[#This Row],[email_repres]]=Tabela1[[#This Row],[e-mail novo avaliador]]</f>
        <v>1</v>
      </c>
    </row>
    <row r="159" spans="1:17" x14ac:dyDescent="0.25">
      <c r="A159" t="s">
        <v>11</v>
      </c>
      <c r="B159" t="s">
        <v>8</v>
      </c>
      <c r="C159" t="s">
        <v>173</v>
      </c>
      <c r="D159" t="s">
        <v>303</v>
      </c>
      <c r="E159" s="2" t="str">
        <f>VLOOKUP(Tabela1[[#This Row],[Avaliador]],Usuários!A:I,COLUMN($H$1),0)</f>
        <v>hilton.torres</v>
      </c>
      <c r="F159" s="2" t="str">
        <f>VLOOKUP(Tabela1[[#This Row],[Avaliador]],Usuários!$A:$I,COLUMN($I$1),0)</f>
        <v>867ht!@</v>
      </c>
      <c r="G159" s="2" t="str">
        <f>VLOOKUP(Tabela1[[#This Row],[Participante]],Usuários!$A:$I,COLUMN($H$1),0)</f>
        <v>silvio.almeida</v>
      </c>
      <c r="H159" s="2" t="str">
        <f>VLOOKUP(Tabela1[[#This Row],[Participante]],Usuários!$A:$I,COLUMN($I$1),0)</f>
        <v>887sa!@</v>
      </c>
      <c r="I159" s="1" t="s">
        <v>16</v>
      </c>
      <c r="J159" s="1" t="s">
        <v>16</v>
      </c>
      <c r="K159" t="s">
        <v>173</v>
      </c>
      <c r="L159" t="s">
        <v>308</v>
      </c>
      <c r="M159" t="str">
        <f>IF(Tabela1[[#This Row],[Tipo_aval]]="auto","Ok",IF(ISERROR(VLOOKUP(Tabela1[[#This Row],[Participante]],Atualização!$B:$B,1,FALSE)),"Ok","Atualizar"))</f>
        <v>Ok</v>
      </c>
      <c r="N15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59" t="str">
        <f>IF(IFERROR(VLOOKUP(Tabela1[[#This Row],[Novo_Avaliador]],Usuários!$A:$B,2,FALSE),"")="","",IFERROR(VLOOKUP(Tabela1[[#This Row],[Novo_Avaliador]],Usuários!$A:$B,2,FALSE),""))</f>
        <v>hilton.torres@enind.com.br</v>
      </c>
      <c r="P159" t="str">
        <f>IF(Tabela1[[#This Row],[Novo_Avaliador]]=Tabela1[[#This Row],[Avaliador]],"Sim","Não")</f>
        <v>Sim</v>
      </c>
      <c r="Q159" t="b">
        <f>Tabela1[[#This Row],[email_repres]]=Tabela1[[#This Row],[e-mail novo avaliador]]</f>
        <v>1</v>
      </c>
    </row>
    <row r="160" spans="1:17" x14ac:dyDescent="0.25">
      <c r="A160" t="s">
        <v>281</v>
      </c>
      <c r="B160" t="s">
        <v>8</v>
      </c>
      <c r="C160" t="s">
        <v>173</v>
      </c>
      <c r="D160" t="s">
        <v>303</v>
      </c>
      <c r="E160" s="2" t="str">
        <f>VLOOKUP(Tabela1[[#This Row],[Avaliador]],Usuários!A:I,COLUMN($H$1),0)</f>
        <v>hilton.torres</v>
      </c>
      <c r="F160" s="2" t="str">
        <f>VLOOKUP(Tabela1[[#This Row],[Avaliador]],Usuários!$A:$I,COLUMN($I$1),0)</f>
        <v>867ht!@</v>
      </c>
      <c r="G160" s="2" t="str">
        <f>VLOOKUP(Tabela1[[#This Row],[Participante]],Usuários!$A:$I,COLUMN($H$1),0)</f>
        <v>vinicius.silva</v>
      </c>
      <c r="H160" s="2" t="str">
        <f>VLOOKUP(Tabela1[[#This Row],[Participante]],Usuários!$A:$I,COLUMN($I$1),0)</f>
        <v>410vs!@</v>
      </c>
      <c r="I160" s="1" t="s">
        <v>16</v>
      </c>
      <c r="J160" s="1" t="s">
        <v>16</v>
      </c>
      <c r="K160" t="s">
        <v>173</v>
      </c>
      <c r="L160" t="s">
        <v>307</v>
      </c>
      <c r="M160" t="str">
        <f>IF(Tabela1[[#This Row],[Tipo_aval]]="auto","Ok",IF(ISERROR(VLOOKUP(Tabela1[[#This Row],[Participante]],Atualização!$B:$B,1,FALSE)),"Ok","Atualizar"))</f>
        <v>Ok</v>
      </c>
      <c r="N16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60" t="str">
        <f>IF(IFERROR(VLOOKUP(Tabela1[[#This Row],[Novo_Avaliador]],Usuários!$A:$B,2,FALSE),"")="","",IFERROR(VLOOKUP(Tabela1[[#This Row],[Novo_Avaliador]],Usuários!$A:$B,2,FALSE),""))</f>
        <v>hilton.torres@enind.com.br</v>
      </c>
      <c r="P160" t="str">
        <f>IF(Tabela1[[#This Row],[Novo_Avaliador]]=Tabela1[[#This Row],[Avaliador]],"Sim","Não")</f>
        <v>Sim</v>
      </c>
      <c r="Q160" t="b">
        <f>Tabela1[[#This Row],[email_repres]]=Tabela1[[#This Row],[e-mail novo avaliador]]</f>
        <v>1</v>
      </c>
    </row>
    <row r="161" spans="1:17" x14ac:dyDescent="0.25">
      <c r="A161" s="2" t="s">
        <v>73</v>
      </c>
      <c r="B161" s="2" t="s">
        <v>8</v>
      </c>
      <c r="C161" s="2" t="s">
        <v>173</v>
      </c>
      <c r="D161" s="2" t="s">
        <v>297</v>
      </c>
      <c r="E161" s="2" t="str">
        <f>VLOOKUP(Tabela1[[#This Row],[Avaliador]],Usuários!A:I,COLUMN($H$1),0)</f>
        <v>hilton.torres</v>
      </c>
      <c r="F161" s="2" t="str">
        <f>VLOOKUP(Tabela1[[#This Row],[Avaliador]],Usuários!$A:$I,COLUMN($I$1),0)</f>
        <v>867ht!@</v>
      </c>
      <c r="G161" s="2" t="str">
        <f>VLOOKUP(Tabela1[[#This Row],[Participante]],Usuários!$A:$I,COLUMN($H$1),0)</f>
        <v>diego.araujo</v>
      </c>
      <c r="H161" s="2" t="str">
        <f>VLOOKUP(Tabela1[[#This Row],[Participante]],Usuários!$A:$I,COLUMN($I$1),0)</f>
        <v>410da!@</v>
      </c>
      <c r="I161" s="1" t="s">
        <v>16</v>
      </c>
      <c r="J161" s="1" t="s">
        <v>16</v>
      </c>
      <c r="K161" t="str">
        <f>Tabela1[[#This Row],[Email]]</f>
        <v>hilton.torres@enind.com.br</v>
      </c>
      <c r="L161" t="s">
        <v>309</v>
      </c>
      <c r="M161" t="str">
        <f>IF(Tabela1[[#This Row],[Tipo_aval]]="auto","Ok",IF(ISERROR(VLOOKUP(Tabela1[[#This Row],[Participante]],Atualização!$B:$B,1,FALSE)),"Ok","Atualizar"))</f>
        <v>Atualizar</v>
      </c>
      <c r="N16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Hilton Helton Dias Torres</v>
      </c>
      <c r="O161" t="str">
        <f>IF(IFERROR(VLOOKUP(Tabela1[[#This Row],[Novo_Avaliador]],Usuários!$A:$B,2,FALSE),"")="","",IFERROR(VLOOKUP(Tabela1[[#This Row],[Novo_Avaliador]],Usuários!$A:$B,2,FALSE),""))</f>
        <v>hilton.torres@enind.com.br</v>
      </c>
      <c r="P161" t="str">
        <f>IF(Tabela1[[#This Row],[Novo_Avaliador]]=Tabela1[[#This Row],[Avaliador]],"Sim","Não")</f>
        <v>Sim</v>
      </c>
      <c r="Q161" t="b">
        <f>Tabela1[[#This Row],[email_repres]]=Tabela1[[#This Row],[e-mail novo avaliador]]</f>
        <v>1</v>
      </c>
    </row>
    <row r="162" spans="1:17" x14ac:dyDescent="0.25">
      <c r="A162" t="s">
        <v>332</v>
      </c>
      <c r="B162" t="s">
        <v>332</v>
      </c>
      <c r="C162" t="s">
        <v>369</v>
      </c>
      <c r="D162" t="s">
        <v>295</v>
      </c>
      <c r="E162" s="2" t="str">
        <f>VLOOKUP(Tabela1[[#This Row],[Avaliador]],Usuários!A:I,COLUMN($H$1),0)</f>
        <v>ieza.amaral</v>
      </c>
      <c r="F162" s="2" t="str">
        <f>VLOOKUP(Tabela1[[#This Row],[Avaliador]],Usuários!$A:$I,COLUMN($I$1),0)</f>
        <v>057ia!@</v>
      </c>
      <c r="G162" s="2" t="str">
        <f>VLOOKUP(Tabela1[[#This Row],[Participante]],Usuários!$A:$I,COLUMN($H$1),0)</f>
        <v>ieza.amaral</v>
      </c>
      <c r="H162" s="2" t="str">
        <f>VLOOKUP(Tabela1[[#This Row],[Participante]],Usuários!$A:$I,COLUMN($I$1),0)</f>
        <v>057ia!@</v>
      </c>
      <c r="I162" s="1" t="s">
        <v>6</v>
      </c>
      <c r="J162" s="1" t="s">
        <v>16</v>
      </c>
      <c r="K162" t="s">
        <v>369</v>
      </c>
      <c r="L162" t="s">
        <v>307</v>
      </c>
      <c r="M162" t="str">
        <f>IF(Tabela1[[#This Row],[Tipo_aval]]="auto","Ok",IF(ISERROR(VLOOKUP(Tabela1[[#This Row],[Participante]],Atualização!$B:$B,1,FALSE)),"Ok","Atualizar"))</f>
        <v>Ok</v>
      </c>
      <c r="N16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Ieza Amaral</v>
      </c>
      <c r="O162" t="str">
        <f>IF(IFERROR(VLOOKUP(Tabela1[[#This Row],[Novo_Avaliador]],Usuários!$A:$B,2,FALSE),"")="","",IFERROR(VLOOKUP(Tabela1[[#This Row],[Novo_Avaliador]],Usuários!$A:$B,2,FALSE),""))</f>
        <v>ieza.amaral@enind.com.br</v>
      </c>
      <c r="P162" t="str">
        <f>IF(Tabela1[[#This Row],[Novo_Avaliador]]=Tabela1[[#This Row],[Avaliador]],"Sim","Não")</f>
        <v>Sim</v>
      </c>
      <c r="Q162" t="b">
        <f>Tabela1[[#This Row],[email_repres]]=Tabela1[[#This Row],[e-mail novo avaliador]]</f>
        <v>1</v>
      </c>
    </row>
    <row r="163" spans="1:17" x14ac:dyDescent="0.25">
      <c r="A163" t="s">
        <v>331</v>
      </c>
      <c r="B163" t="s">
        <v>331</v>
      </c>
      <c r="C163" t="s">
        <v>368</v>
      </c>
      <c r="D163" t="s">
        <v>295</v>
      </c>
      <c r="E163" s="2" t="str">
        <f>VLOOKUP(Tabela1[[#This Row],[Avaliador]],Usuários!A:I,COLUMN($H$1),0)</f>
        <v>igor.aranda</v>
      </c>
      <c r="F163" s="2" t="str">
        <f>VLOOKUP(Tabela1[[#This Row],[Avaliador]],Usuários!$A:$I,COLUMN($I$1),0)</f>
        <v>554ia!@</v>
      </c>
      <c r="G163" s="2" t="str">
        <f>VLOOKUP(Tabela1[[#This Row],[Participante]],Usuários!$A:$I,COLUMN($H$1),0)</f>
        <v>igor.aranda</v>
      </c>
      <c r="H163" s="2" t="str">
        <f>VLOOKUP(Tabela1[[#This Row],[Participante]],Usuários!$A:$I,COLUMN($I$1),0)</f>
        <v>554ia!@</v>
      </c>
      <c r="I163" s="1" t="s">
        <v>6</v>
      </c>
      <c r="J163" s="1" t="s">
        <v>16</v>
      </c>
      <c r="K163" t="s">
        <v>368</v>
      </c>
      <c r="L163" t="s">
        <v>307</v>
      </c>
      <c r="M163" t="str">
        <f>IF(Tabela1[[#This Row],[Tipo_aval]]="auto","Ok",IF(ISERROR(VLOOKUP(Tabela1[[#This Row],[Participante]],Atualização!$B:$B,1,FALSE)),"Ok","Atualizar"))</f>
        <v>Ok</v>
      </c>
      <c r="N16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Igor do Carmo Aranda</v>
      </c>
      <c r="O163" t="str">
        <f>IF(IFERROR(VLOOKUP(Tabela1[[#This Row],[Novo_Avaliador]],Usuários!$A:$B,2,FALSE),"")="","",IFERROR(VLOOKUP(Tabela1[[#This Row],[Novo_Avaliador]],Usuários!$A:$B,2,FALSE),""))</f>
        <v>igor.aranda@enind.com.br</v>
      </c>
      <c r="P163" t="str">
        <f>IF(Tabela1[[#This Row],[Novo_Avaliador]]=Tabela1[[#This Row],[Avaliador]],"Sim","Não")</f>
        <v>Sim</v>
      </c>
      <c r="Q163" t="b">
        <f>Tabela1[[#This Row],[email_repres]]=Tabela1[[#This Row],[e-mail novo avaliador]]</f>
        <v>1</v>
      </c>
    </row>
    <row r="164" spans="1:17" x14ac:dyDescent="0.25">
      <c r="A164" t="s">
        <v>339</v>
      </c>
      <c r="B164" t="s">
        <v>339</v>
      </c>
      <c r="C164" t="s">
        <v>376</v>
      </c>
      <c r="D164" t="s">
        <v>295</v>
      </c>
      <c r="E164" s="2" t="str">
        <f>VLOOKUP(Tabela1[[#This Row],[Avaliador]],Usuários!A:I,COLUMN($H$1),0)</f>
        <v>isabela.pinheiro</v>
      </c>
      <c r="F164" s="2" t="str">
        <f>VLOOKUP(Tabela1[[#This Row],[Avaliador]],Usuários!$A:$I,COLUMN($I$1),0)</f>
        <v>448ip!@</v>
      </c>
      <c r="G164" s="2" t="str">
        <f>VLOOKUP(Tabela1[[#This Row],[Participante]],Usuários!$A:$I,COLUMN($H$1),0)</f>
        <v>isabela.pinheiro</v>
      </c>
      <c r="H164" s="2" t="str">
        <f>VLOOKUP(Tabela1[[#This Row],[Participante]],Usuários!$A:$I,COLUMN($I$1),0)</f>
        <v>448ip!@</v>
      </c>
      <c r="I164" s="1" t="s">
        <v>6</v>
      </c>
      <c r="J164" s="1" t="s">
        <v>16</v>
      </c>
      <c r="K164" t="s">
        <v>376</v>
      </c>
      <c r="L164" t="s">
        <v>307</v>
      </c>
      <c r="M164" t="str">
        <f>IF(Tabela1[[#This Row],[Tipo_aval]]="auto","Ok",IF(ISERROR(VLOOKUP(Tabela1[[#This Row],[Participante]],Atualização!$B:$B,1,FALSE)),"Ok","Atualizar"))</f>
        <v>Ok</v>
      </c>
      <c r="N16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Isabela Pinheiro da Silva</v>
      </c>
      <c r="O164" t="str">
        <f>IF(IFERROR(VLOOKUP(Tabela1[[#This Row],[Novo_Avaliador]],Usuários!$A:$B,2,FALSE),"")="","",IFERROR(VLOOKUP(Tabela1[[#This Row],[Novo_Avaliador]],Usuários!$A:$B,2,FALSE),""))</f>
        <v>isabela.pinheiro@enind.com.br</v>
      </c>
      <c r="P164" t="str">
        <f>IF(Tabela1[[#This Row],[Novo_Avaliador]]=Tabela1[[#This Row],[Avaliador]],"Sim","Não")</f>
        <v>Sim</v>
      </c>
      <c r="Q164" t="b">
        <f>Tabela1[[#This Row],[email_repres]]=Tabela1[[#This Row],[e-mail novo avaliador]]</f>
        <v>1</v>
      </c>
    </row>
    <row r="165" spans="1:17" x14ac:dyDescent="0.25">
      <c r="A165" t="s">
        <v>193</v>
      </c>
      <c r="B165" t="s">
        <v>193</v>
      </c>
      <c r="C165" t="s">
        <v>194</v>
      </c>
      <c r="D165" t="s">
        <v>295</v>
      </c>
      <c r="E165" s="2" t="str">
        <f>VLOOKUP(Tabela1[[#This Row],[Avaliador]],Usuários!A:I,COLUMN($H$1),0)</f>
        <v>italo.andrade</v>
      </c>
      <c r="F165" s="2" t="str">
        <f>VLOOKUP(Tabela1[[#This Row],[Avaliador]],Usuários!$A:$I,COLUMN($I$1),0)</f>
        <v>697ia!@</v>
      </c>
      <c r="G165" s="2" t="str">
        <f>VLOOKUP(Tabela1[[#This Row],[Participante]],Usuários!$A:$I,COLUMN($H$1),0)</f>
        <v>italo.andrade</v>
      </c>
      <c r="H165" s="2" t="str">
        <f>VLOOKUP(Tabela1[[#This Row],[Participante]],Usuários!$A:$I,COLUMN($I$1),0)</f>
        <v>697ia!@</v>
      </c>
      <c r="I165" s="1" t="s">
        <v>6</v>
      </c>
      <c r="J165" s="1" t="s">
        <v>16</v>
      </c>
      <c r="K165" t="s">
        <v>194</v>
      </c>
      <c r="L165" t="s">
        <v>307</v>
      </c>
      <c r="M165" t="str">
        <f>IF(Tabela1[[#This Row],[Tipo_aval]]="auto","Ok",IF(ISERROR(VLOOKUP(Tabela1[[#This Row],[Participante]],Atualização!$B:$B,1,FALSE)),"Ok","Atualizar"))</f>
        <v>Ok</v>
      </c>
      <c r="N16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Italo Cesar Andrade</v>
      </c>
      <c r="O165" t="str">
        <f>IF(IFERROR(VLOOKUP(Tabela1[[#This Row],[Novo_Avaliador]],Usuários!$A:$B,2,FALSE),"")="","",IFERROR(VLOOKUP(Tabela1[[#This Row],[Novo_Avaliador]],Usuários!$A:$B,2,FALSE),""))</f>
        <v>italo.andrade@enind.com.br</v>
      </c>
      <c r="P165" t="str">
        <f>IF(Tabela1[[#This Row],[Novo_Avaliador]]=Tabela1[[#This Row],[Avaliador]],"Sim","Não")</f>
        <v>Sim</v>
      </c>
      <c r="Q165" t="b">
        <f>Tabela1[[#This Row],[email_repres]]=Tabela1[[#This Row],[e-mail novo avaliador]]</f>
        <v>1</v>
      </c>
    </row>
    <row r="166" spans="1:17" x14ac:dyDescent="0.25">
      <c r="A166" t="s">
        <v>196</v>
      </c>
      <c r="B166" t="s">
        <v>196</v>
      </c>
      <c r="C166" t="s">
        <v>197</v>
      </c>
      <c r="D166" t="s">
        <v>295</v>
      </c>
      <c r="E166" s="2" t="str">
        <f>VLOOKUP(Tabela1[[#This Row],[Avaliador]],Usuários!A:I,COLUMN($H$1),0)</f>
        <v>janderson.alves</v>
      </c>
      <c r="F166" s="2" t="str">
        <f>VLOOKUP(Tabela1[[#This Row],[Avaliador]],Usuários!$A:$I,COLUMN($I$1),0)</f>
        <v>834ja!@</v>
      </c>
      <c r="G166" s="2" t="str">
        <f>VLOOKUP(Tabela1[[#This Row],[Participante]],Usuários!$A:$I,COLUMN($H$1),0)</f>
        <v>janderson.alves</v>
      </c>
      <c r="H166" s="2" t="str">
        <f>VLOOKUP(Tabela1[[#This Row],[Participante]],Usuários!$A:$I,COLUMN($I$1),0)</f>
        <v>834ja!@</v>
      </c>
      <c r="I166" s="1" t="s">
        <v>6</v>
      </c>
      <c r="J166" s="1" t="s">
        <v>16</v>
      </c>
      <c r="K166" t="s">
        <v>197</v>
      </c>
      <c r="L166" t="s">
        <v>307</v>
      </c>
      <c r="M166" t="str">
        <f>IF(Tabela1[[#This Row],[Tipo_aval]]="auto","Ok",IF(ISERROR(VLOOKUP(Tabela1[[#This Row],[Participante]],Atualização!$B:$B,1,FALSE)),"Ok","Atualizar"))</f>
        <v>Ok</v>
      </c>
      <c r="N16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Janderson Cunha Alves</v>
      </c>
      <c r="O166" t="str">
        <f>IF(IFERROR(VLOOKUP(Tabela1[[#This Row],[Novo_Avaliador]],Usuários!$A:$B,2,FALSE),"")="","",IFERROR(VLOOKUP(Tabela1[[#This Row],[Novo_Avaliador]],Usuários!$A:$B,2,FALSE),""))</f>
        <v>janderson.alves@enindservicos.com.br</v>
      </c>
      <c r="P166" t="str">
        <f>IF(Tabela1[[#This Row],[Novo_Avaliador]]=Tabela1[[#This Row],[Avaliador]],"Sim","Não")</f>
        <v>Sim</v>
      </c>
      <c r="Q166" t="b">
        <f>Tabela1[[#This Row],[email_repres]]=Tabela1[[#This Row],[e-mail novo avaliador]]</f>
        <v>1</v>
      </c>
    </row>
    <row r="167" spans="1:17" x14ac:dyDescent="0.25">
      <c r="A167" s="2" t="s">
        <v>23</v>
      </c>
      <c r="B167" s="2" t="s">
        <v>23</v>
      </c>
      <c r="C167" s="2" t="s">
        <v>200</v>
      </c>
      <c r="D167" s="2" t="s">
        <v>295</v>
      </c>
      <c r="E167" s="2" t="str">
        <f>VLOOKUP(Tabela1[[#This Row],[Avaliador]],Usuários!A:I,COLUMN($H$1),0)</f>
        <v>jean.rocha</v>
      </c>
      <c r="F167" s="2" t="str">
        <f>VLOOKUP(Tabela1[[#This Row],[Avaliador]],Usuários!$A:$I,COLUMN($I$1),0)</f>
        <v>909jr!@</v>
      </c>
      <c r="G167" s="2" t="str">
        <f>VLOOKUP(Tabela1[[#This Row],[Participante]],Usuários!$A:$I,COLUMN($H$1),0)</f>
        <v>jean.rocha</v>
      </c>
      <c r="H167" s="2" t="str">
        <f>VLOOKUP(Tabela1[[#This Row],[Participante]],Usuários!$A:$I,COLUMN($I$1),0)</f>
        <v>909jr!@</v>
      </c>
      <c r="I167" s="1" t="s">
        <v>6</v>
      </c>
      <c r="J167" s="1" t="s">
        <v>16</v>
      </c>
      <c r="K167" t="s">
        <v>200</v>
      </c>
      <c r="L167" t="s">
        <v>309</v>
      </c>
      <c r="M167" t="str">
        <f>IF(Tabela1[[#This Row],[Tipo_aval]]="auto","Ok",IF(ISERROR(VLOOKUP(Tabela1[[#This Row],[Participante]],Atualização!$B:$B,1,FALSE)),"Ok","Atualizar"))</f>
        <v>Ok</v>
      </c>
      <c r="N16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67" t="str">
        <f>IF(IFERROR(VLOOKUP(Tabela1[[#This Row],[Novo_Avaliador]],Usuários!$A:$B,2,FALSE),"")="","",IFERROR(VLOOKUP(Tabela1[[#This Row],[Novo_Avaliador]],Usuários!$A:$B,2,FALSE),""))</f>
        <v>jean.rocha@enind.com.br</v>
      </c>
      <c r="P167" t="str">
        <f>IF(Tabela1[[#This Row],[Novo_Avaliador]]=Tabela1[[#This Row],[Avaliador]],"Sim","Não")</f>
        <v>Sim</v>
      </c>
      <c r="Q167" t="b">
        <f>Tabela1[[#This Row],[email_repres]]=Tabela1[[#This Row],[e-mail novo avaliador]]</f>
        <v>1</v>
      </c>
    </row>
    <row r="168" spans="1:17" x14ac:dyDescent="0.25">
      <c r="A168" s="2" t="s">
        <v>48</v>
      </c>
      <c r="B168" s="2" t="s">
        <v>23</v>
      </c>
      <c r="C168" s="2" t="s">
        <v>200</v>
      </c>
      <c r="D168" s="2" t="s">
        <v>297</v>
      </c>
      <c r="E168" s="2" t="str">
        <f>VLOOKUP(Tabela1[[#This Row],[Avaliador]],Usuários!A:I,COLUMN($H$1),0)</f>
        <v>jean.rocha</v>
      </c>
      <c r="F168" s="2" t="str">
        <f>VLOOKUP(Tabela1[[#This Row],[Avaliador]],Usuários!$A:$I,COLUMN($I$1),0)</f>
        <v>909jr!@</v>
      </c>
      <c r="G168" s="2" t="str">
        <f>VLOOKUP(Tabela1[[#This Row],[Participante]],Usuários!$A:$I,COLUMN($H$1),0)</f>
        <v>crislane.gama</v>
      </c>
      <c r="H168" s="2" t="str">
        <f>VLOOKUP(Tabela1[[#This Row],[Participante]],Usuários!$A:$I,COLUMN($I$1),0)</f>
        <v>222cg!@</v>
      </c>
      <c r="I168" s="1" t="s">
        <v>16</v>
      </c>
      <c r="J168" s="1" t="s">
        <v>16</v>
      </c>
      <c r="K168" t="s">
        <v>200</v>
      </c>
      <c r="L168" t="s">
        <v>307</v>
      </c>
      <c r="M168" t="str">
        <f>IF(Tabela1[[#This Row],[Tipo_aval]]="auto","Ok",IF(ISERROR(VLOOKUP(Tabela1[[#This Row],[Participante]],Atualização!$B:$B,1,FALSE)),"Ok","Atualizar"))</f>
        <v>Ok</v>
      </c>
      <c r="N16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68" t="str">
        <f>IF(IFERROR(VLOOKUP(Tabela1[[#This Row],[Novo_Avaliador]],Usuários!$A:$B,2,FALSE),"")="","",IFERROR(VLOOKUP(Tabela1[[#This Row],[Novo_Avaliador]],Usuários!$A:$B,2,FALSE),""))</f>
        <v>jean.rocha@enind.com.br</v>
      </c>
      <c r="P168" t="str">
        <f>IF(Tabela1[[#This Row],[Novo_Avaliador]]=Tabela1[[#This Row],[Avaliador]],"Sim","Não")</f>
        <v>Sim</v>
      </c>
      <c r="Q168" t="b">
        <f>Tabela1[[#This Row],[email_repres]]=Tabela1[[#This Row],[e-mail novo avaliador]]</f>
        <v>1</v>
      </c>
    </row>
    <row r="169" spans="1:17" x14ac:dyDescent="0.25">
      <c r="A169" s="2" t="s">
        <v>22</v>
      </c>
      <c r="B169" s="2" t="s">
        <v>23</v>
      </c>
      <c r="C169" s="2" t="s">
        <v>200</v>
      </c>
      <c r="D169" s="2" t="s">
        <v>297</v>
      </c>
      <c r="E169" s="2" t="str">
        <f>VLOOKUP(Tabela1[[#This Row],[Avaliador]],Usuários!A:I,COLUMN($H$1),0)</f>
        <v>jean.rocha</v>
      </c>
      <c r="F169" s="2" t="str">
        <f>VLOOKUP(Tabela1[[#This Row],[Avaliador]],Usuários!$A:$I,COLUMN($I$1),0)</f>
        <v>909jr!@</v>
      </c>
      <c r="G169" s="2" t="str">
        <f>VLOOKUP(Tabela1[[#This Row],[Participante]],Usuários!$A:$I,COLUMN($H$1),0)</f>
        <v>david.silva</v>
      </c>
      <c r="H169" s="2" t="str">
        <f>VLOOKUP(Tabela1[[#This Row],[Participante]],Usuários!$A:$I,COLUMN($I$1),0)</f>
        <v>652ds!@</v>
      </c>
      <c r="I169" s="1" t="s">
        <v>6</v>
      </c>
      <c r="J169" s="1" t="s">
        <v>16</v>
      </c>
      <c r="K169" t="s">
        <v>200</v>
      </c>
      <c r="L169" t="s">
        <v>307</v>
      </c>
      <c r="M169" t="str">
        <f>IF(Tabela1[[#This Row],[Tipo_aval]]="auto","Ok",IF(ISERROR(VLOOKUP(Tabela1[[#This Row],[Participante]],Atualização!$B:$B,1,FALSE)),"Ok","Atualizar"))</f>
        <v>Ok</v>
      </c>
      <c r="N16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69" t="str">
        <f>IF(IFERROR(VLOOKUP(Tabela1[[#This Row],[Novo_Avaliador]],Usuários!$A:$B,2,FALSE),"")="","",IFERROR(VLOOKUP(Tabela1[[#This Row],[Novo_Avaliador]],Usuários!$A:$B,2,FALSE),""))</f>
        <v>jean.rocha@enind.com.br</v>
      </c>
      <c r="P169" t="str">
        <f>IF(Tabela1[[#This Row],[Novo_Avaliador]]=Tabela1[[#This Row],[Avaliador]],"Sim","Não")</f>
        <v>Sim</v>
      </c>
      <c r="Q169" t="b">
        <f>Tabela1[[#This Row],[email_repres]]=Tabela1[[#This Row],[e-mail novo avaliador]]</f>
        <v>1</v>
      </c>
    </row>
    <row r="170" spans="1:17" x14ac:dyDescent="0.25">
      <c r="A170" t="s">
        <v>79</v>
      </c>
      <c r="B170" t="s">
        <v>23</v>
      </c>
      <c r="C170" t="s">
        <v>200</v>
      </c>
      <c r="D170" t="s">
        <v>297</v>
      </c>
      <c r="E170" s="2" t="str">
        <f>VLOOKUP(Tabela1[[#This Row],[Avaliador]],Usuários!A:I,COLUMN($H$1),0)</f>
        <v>jean.rocha</v>
      </c>
      <c r="F170" s="2" t="str">
        <f>VLOOKUP(Tabela1[[#This Row],[Avaliador]],Usuários!$A:$I,COLUMN($I$1),0)</f>
        <v>909jr!@</v>
      </c>
      <c r="G170" s="2" t="str">
        <f>VLOOKUP(Tabela1[[#This Row],[Participante]],Usuários!$A:$I,COLUMN($H$1),0)</f>
        <v>diego.santos</v>
      </c>
      <c r="H170" s="2" t="str">
        <f>VLOOKUP(Tabela1[[#This Row],[Participante]],Usuários!$A:$I,COLUMN($I$1),0)</f>
        <v>334ds!@</v>
      </c>
      <c r="I170" s="1" t="s">
        <v>16</v>
      </c>
      <c r="J170" s="1" t="s">
        <v>16</v>
      </c>
      <c r="K170" t="s">
        <v>200</v>
      </c>
      <c r="L170" t="s">
        <v>309</v>
      </c>
      <c r="M170" t="str">
        <f>IF(Tabela1[[#This Row],[Tipo_aval]]="auto","Ok",IF(ISERROR(VLOOKUP(Tabela1[[#This Row],[Participante]],Atualização!$B:$B,1,FALSE)),"Ok","Atualizar"))</f>
        <v>Ok</v>
      </c>
      <c r="N17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0" t="str">
        <f>IF(IFERROR(VLOOKUP(Tabela1[[#This Row],[Novo_Avaliador]],Usuários!$A:$B,2,FALSE),"")="","",IFERROR(VLOOKUP(Tabela1[[#This Row],[Novo_Avaliador]],Usuários!$A:$B,2,FALSE),""))</f>
        <v>jean.rocha@enind.com.br</v>
      </c>
      <c r="P170" t="str">
        <f>IF(Tabela1[[#This Row],[Novo_Avaliador]]=Tabela1[[#This Row],[Avaliador]],"Sim","Não")</f>
        <v>Sim</v>
      </c>
      <c r="Q170" t="b">
        <f>Tabela1[[#This Row],[email_repres]]=Tabela1[[#This Row],[e-mail novo avaliador]]</f>
        <v>1</v>
      </c>
    </row>
    <row r="171" spans="1:17" x14ac:dyDescent="0.25">
      <c r="A171" s="2" t="s">
        <v>70</v>
      </c>
      <c r="B171" s="2" t="s">
        <v>53</v>
      </c>
      <c r="C171" s="2" t="s">
        <v>432</v>
      </c>
      <c r="D171" s="2" t="s">
        <v>297</v>
      </c>
      <c r="E171" s="2" t="str">
        <f>VLOOKUP(Tabela1[[#This Row],[Avaliador]],Usuários!A:I,COLUMN($H$1),0)</f>
        <v>marcos.batista</v>
      </c>
      <c r="F171" s="2" t="str">
        <f>VLOOKUP(Tabela1[[#This Row],[Avaliador]],Usuários!$A:$I,COLUMN($I$1),0)</f>
        <v>395mb!@</v>
      </c>
      <c r="G171" s="2" t="str">
        <f>VLOOKUP(Tabela1[[#This Row],[Participante]],Usuários!$A:$I,COLUMN($H$1),0)</f>
        <v>goncalo.silva</v>
      </c>
      <c r="H171" s="2" t="str">
        <f>VLOOKUP(Tabela1[[#This Row],[Participante]],Usuários!$A:$I,COLUMN($I$1),0)</f>
        <v>712gs!@</v>
      </c>
      <c r="I171" s="1" t="s">
        <v>16</v>
      </c>
      <c r="J171" s="1" t="s">
        <v>6</v>
      </c>
      <c r="K171" t="s">
        <v>200</v>
      </c>
      <c r="L171" t="s">
        <v>308</v>
      </c>
      <c r="M171" t="str">
        <f>IF(Tabela1[[#This Row],[Tipo_aval]]="auto","Ok",IF(ISERROR(VLOOKUP(Tabela1[[#This Row],[Participante]],Atualização!$B:$B,1,FALSE)),"Ok","Atualizar"))</f>
        <v>Ok</v>
      </c>
      <c r="N17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Batista</v>
      </c>
      <c r="O171" t="str">
        <f>IF(IFERROR(VLOOKUP(Tabela1[[#This Row],[Novo_Avaliador]],Usuários!$A:$B,2,FALSE),"")="","",IFERROR(VLOOKUP(Tabela1[[#This Row],[Novo_Avaliador]],Usuários!$A:$B,2,FALSE),""))</f>
        <v/>
      </c>
      <c r="P171" t="str">
        <f>IF(Tabela1[[#This Row],[Novo_Avaliador]]=Tabela1[[#This Row],[Avaliador]],"Sim","Não")</f>
        <v>Sim</v>
      </c>
      <c r="Q171" t="b">
        <f>Tabela1[[#This Row],[email_repres]]=Tabela1[[#This Row],[e-mail novo avaliador]]</f>
        <v>0</v>
      </c>
    </row>
    <row r="172" spans="1:17" x14ac:dyDescent="0.25">
      <c r="A172" t="s">
        <v>203</v>
      </c>
      <c r="B172" t="s">
        <v>23</v>
      </c>
      <c r="C172" t="s">
        <v>200</v>
      </c>
      <c r="D172" t="s">
        <v>297</v>
      </c>
      <c r="E172" s="2" t="str">
        <f>VLOOKUP(Tabela1[[#This Row],[Avaliador]],Usuários!A:I,COLUMN($H$1),0)</f>
        <v>jean.rocha</v>
      </c>
      <c r="F172" s="2" t="str">
        <f>VLOOKUP(Tabela1[[#This Row],[Avaliador]],Usuários!$A:$I,COLUMN($I$1),0)</f>
        <v>909jr!@</v>
      </c>
      <c r="G172" s="2" t="str">
        <f>VLOOKUP(Tabela1[[#This Row],[Participante]],Usuários!$A:$I,COLUMN($H$1),0)</f>
        <v>jose.paz</v>
      </c>
      <c r="H172" s="2" t="str">
        <f>VLOOKUP(Tabela1[[#This Row],[Participante]],Usuários!$A:$I,COLUMN($I$1),0)</f>
        <v>834jp!@</v>
      </c>
      <c r="I172" s="1" t="s">
        <v>6</v>
      </c>
      <c r="J172" s="1" t="s">
        <v>16</v>
      </c>
      <c r="K172" t="s">
        <v>200</v>
      </c>
      <c r="L172" t="s">
        <v>307</v>
      </c>
      <c r="M172" t="str">
        <f>IF(Tabela1[[#This Row],[Tipo_aval]]="auto","Ok",IF(ISERROR(VLOOKUP(Tabela1[[#This Row],[Participante]],Atualização!$B:$B,1,FALSE)),"Ok","Atualizar"))</f>
        <v>Ok</v>
      </c>
      <c r="N17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2" t="str">
        <f>IF(IFERROR(VLOOKUP(Tabela1[[#This Row],[Novo_Avaliador]],Usuários!$A:$B,2,FALSE),"")="","",IFERROR(VLOOKUP(Tabela1[[#This Row],[Novo_Avaliador]],Usuários!$A:$B,2,FALSE),""))</f>
        <v>jean.rocha@enind.com.br</v>
      </c>
      <c r="P172" t="str">
        <f>IF(Tabela1[[#This Row],[Novo_Avaliador]]=Tabela1[[#This Row],[Avaliador]],"Sim","Não")</f>
        <v>Sim</v>
      </c>
      <c r="Q172" t="b">
        <f>Tabela1[[#This Row],[email_repres]]=Tabela1[[#This Row],[e-mail novo avaliador]]</f>
        <v>1</v>
      </c>
    </row>
    <row r="173" spans="1:17" x14ac:dyDescent="0.25">
      <c r="A173" s="2" t="s">
        <v>62</v>
      </c>
      <c r="B173" s="2" t="s">
        <v>23</v>
      </c>
      <c r="C173" s="2" t="s">
        <v>200</v>
      </c>
      <c r="D173" s="2" t="s">
        <v>297</v>
      </c>
      <c r="E173" s="2" t="str">
        <f>VLOOKUP(Tabela1[[#This Row],[Avaliador]],Usuários!A:I,COLUMN($H$1),0)</f>
        <v>jean.rocha</v>
      </c>
      <c r="F173" s="2" t="str">
        <f>VLOOKUP(Tabela1[[#This Row],[Avaliador]],Usuários!$A:$I,COLUMN($I$1),0)</f>
        <v>909jr!@</v>
      </c>
      <c r="G173" s="2" t="str">
        <f>VLOOKUP(Tabela1[[#This Row],[Participante]],Usuários!$A:$I,COLUMN($H$1),0)</f>
        <v>silvio.silva</v>
      </c>
      <c r="H173" s="2" t="str">
        <f>VLOOKUP(Tabela1[[#This Row],[Participante]],Usuários!$A:$I,COLUMN($I$1),0)</f>
        <v>743ss!@</v>
      </c>
      <c r="I173" s="1" t="s">
        <v>6</v>
      </c>
      <c r="J173" s="1" t="s">
        <v>16</v>
      </c>
      <c r="K173" t="s">
        <v>200</v>
      </c>
      <c r="L173" t="s">
        <v>307</v>
      </c>
      <c r="M173" t="str">
        <f>IF(Tabela1[[#This Row],[Tipo_aval]]="auto","Ok",IF(ISERROR(VLOOKUP(Tabela1[[#This Row],[Participante]],Atualização!$B:$B,1,FALSE)),"Ok","Atualizar"))</f>
        <v>Ok</v>
      </c>
      <c r="N17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3" t="str">
        <f>IF(IFERROR(VLOOKUP(Tabela1[[#This Row],[Novo_Avaliador]],Usuários!$A:$B,2,FALSE),"")="","",IFERROR(VLOOKUP(Tabela1[[#This Row],[Novo_Avaliador]],Usuários!$A:$B,2,FALSE),""))</f>
        <v>jean.rocha@enind.com.br</v>
      </c>
      <c r="P173" t="str">
        <f>IF(Tabela1[[#This Row],[Novo_Avaliador]]=Tabela1[[#This Row],[Avaliador]],"Sim","Não")</f>
        <v>Sim</v>
      </c>
      <c r="Q173" t="b">
        <f>Tabela1[[#This Row],[email_repres]]=Tabela1[[#This Row],[e-mail novo avaliador]]</f>
        <v>1</v>
      </c>
    </row>
    <row r="174" spans="1:17" x14ac:dyDescent="0.25">
      <c r="A174" s="2" t="s">
        <v>88</v>
      </c>
      <c r="B174" s="2" t="s">
        <v>23</v>
      </c>
      <c r="C174" s="2" t="s">
        <v>200</v>
      </c>
      <c r="D174" s="3" t="s">
        <v>303</v>
      </c>
      <c r="E174" s="2" t="str">
        <f>VLOOKUP(Tabela1[[#This Row],[Avaliador]],Usuários!A:I,COLUMN($H$1),0)</f>
        <v>jean.rocha</v>
      </c>
      <c r="F174" s="2" t="str">
        <f>VLOOKUP(Tabela1[[#This Row],[Avaliador]],Usuários!$A:$I,COLUMN($I$1),0)</f>
        <v>909jr!@</v>
      </c>
      <c r="G174" s="2" t="str">
        <f>VLOOKUP(Tabela1[[#This Row],[Participante]],Usuários!$A:$I,COLUMN($H$1),0)</f>
        <v>antonio.filho</v>
      </c>
      <c r="H174" s="2" t="str">
        <f>VLOOKUP(Tabela1[[#This Row],[Participante]],Usuários!$A:$I,COLUMN($I$1),0)</f>
        <v>897af!@</v>
      </c>
      <c r="I174" s="1" t="s">
        <v>16</v>
      </c>
      <c r="J174" s="1" t="s">
        <v>16</v>
      </c>
      <c r="K174" t="s">
        <v>200</v>
      </c>
      <c r="L174" t="s">
        <v>308</v>
      </c>
      <c r="M174" t="str">
        <f>IF(Tabela1[[#This Row],[Tipo_aval]]="auto","Ok",IF(ISERROR(VLOOKUP(Tabela1[[#This Row],[Participante]],Atualização!$B:$B,1,FALSE)),"Ok","Atualizar"))</f>
        <v>Ok</v>
      </c>
      <c r="N17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4" t="str">
        <f>IF(IFERROR(VLOOKUP(Tabela1[[#This Row],[Novo_Avaliador]],Usuários!$A:$B,2,FALSE),"")="","",IFERROR(VLOOKUP(Tabela1[[#This Row],[Novo_Avaliador]],Usuários!$A:$B,2,FALSE),""))</f>
        <v>jean.rocha@enind.com.br</v>
      </c>
      <c r="P174" t="str">
        <f>IF(Tabela1[[#This Row],[Novo_Avaliador]]=Tabela1[[#This Row],[Avaliador]],"Sim","Não")</f>
        <v>Sim</v>
      </c>
      <c r="Q174" t="b">
        <f>Tabela1[[#This Row],[email_repres]]=Tabela1[[#This Row],[e-mail novo avaliador]]</f>
        <v>1</v>
      </c>
    </row>
    <row r="175" spans="1:17" x14ac:dyDescent="0.25">
      <c r="A175" s="2" t="s">
        <v>83</v>
      </c>
      <c r="B175" s="2" t="s">
        <v>23</v>
      </c>
      <c r="C175" s="2" t="s">
        <v>200</v>
      </c>
      <c r="D175" s="2" t="s">
        <v>303</v>
      </c>
      <c r="E175" s="2" t="str">
        <f>VLOOKUP(Tabela1[[#This Row],[Avaliador]],Usuários!A:I,COLUMN($H$1),0)</f>
        <v>jean.rocha</v>
      </c>
      <c r="F175" s="2" t="str">
        <f>VLOOKUP(Tabela1[[#This Row],[Avaliador]],Usuários!$A:$I,COLUMN($I$1),0)</f>
        <v>909jr!@</v>
      </c>
      <c r="G175" s="2" t="str">
        <f>VLOOKUP(Tabela1[[#This Row],[Participante]],Usuários!$A:$I,COLUMN($H$1),0)</f>
        <v>cicero.melo</v>
      </c>
      <c r="H175" s="2" t="str">
        <f>VLOOKUP(Tabela1[[#This Row],[Participante]],Usuários!$A:$I,COLUMN($I$1),0)</f>
        <v>003cm!@</v>
      </c>
      <c r="I175" s="1" t="s">
        <v>16</v>
      </c>
      <c r="J175" s="1" t="s">
        <v>16</v>
      </c>
      <c r="K175" t="s">
        <v>200</v>
      </c>
      <c r="L175" t="s">
        <v>308</v>
      </c>
      <c r="M175" t="str">
        <f>IF(Tabela1[[#This Row],[Tipo_aval]]="auto","Ok",IF(ISERROR(VLOOKUP(Tabela1[[#This Row],[Participante]],Atualização!$B:$B,1,FALSE)),"Ok","Atualizar"))</f>
        <v>Ok</v>
      </c>
      <c r="N17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5" t="str">
        <f>IF(IFERROR(VLOOKUP(Tabela1[[#This Row],[Novo_Avaliador]],Usuários!$A:$B,2,FALSE),"")="","",IFERROR(VLOOKUP(Tabela1[[#This Row],[Novo_Avaliador]],Usuários!$A:$B,2,FALSE),""))</f>
        <v>jean.rocha@enind.com.br</v>
      </c>
      <c r="P175" t="str">
        <f>IF(Tabela1[[#This Row],[Novo_Avaliador]]=Tabela1[[#This Row],[Avaliador]],"Sim","Não")</f>
        <v>Sim</v>
      </c>
      <c r="Q175" t="b">
        <f>Tabela1[[#This Row],[email_repres]]=Tabela1[[#This Row],[e-mail novo avaliador]]</f>
        <v>1</v>
      </c>
    </row>
    <row r="176" spans="1:17" x14ac:dyDescent="0.25">
      <c r="A176" s="2" t="s">
        <v>70</v>
      </c>
      <c r="B176" s="2" t="s">
        <v>23</v>
      </c>
      <c r="C176" s="2" t="s">
        <v>200</v>
      </c>
      <c r="D176" s="2" t="s">
        <v>303</v>
      </c>
      <c r="E176" s="2" t="str">
        <f>VLOOKUP(Tabela1[[#This Row],[Avaliador]],Usuários!A:I,COLUMN($H$1),0)</f>
        <v>jean.rocha</v>
      </c>
      <c r="F176" s="2" t="str">
        <f>VLOOKUP(Tabela1[[#This Row],[Avaliador]],Usuários!$A:$I,COLUMN($I$1),0)</f>
        <v>909jr!@</v>
      </c>
      <c r="G176" s="2" t="str">
        <f>VLOOKUP(Tabela1[[#This Row],[Participante]],Usuários!$A:$I,COLUMN($H$1),0)</f>
        <v>goncalo.silva</v>
      </c>
      <c r="H176" s="2" t="str">
        <f>VLOOKUP(Tabela1[[#This Row],[Participante]],Usuários!$A:$I,COLUMN($I$1),0)</f>
        <v>712gs!@</v>
      </c>
      <c r="I176" s="1" t="s">
        <v>6</v>
      </c>
      <c r="J176" s="1" t="s">
        <v>16</v>
      </c>
      <c r="K176" t="s">
        <v>200</v>
      </c>
      <c r="L176" t="s">
        <v>308</v>
      </c>
      <c r="M176" t="str">
        <f>IF(Tabela1[[#This Row],[Tipo_aval]]="auto","Ok",IF(ISERROR(VLOOKUP(Tabela1[[#This Row],[Participante]],Atualização!$B:$B,1,FALSE)),"Ok","Atualizar"))</f>
        <v>Ok</v>
      </c>
      <c r="N17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6" t="str">
        <f>IF(IFERROR(VLOOKUP(Tabela1[[#This Row],[Novo_Avaliador]],Usuários!$A:$B,2,FALSE),"")="","",IFERROR(VLOOKUP(Tabela1[[#This Row],[Novo_Avaliador]],Usuários!$A:$B,2,FALSE),""))</f>
        <v>jean.rocha@enind.com.br</v>
      </c>
      <c r="P176" t="str">
        <f>IF(Tabela1[[#This Row],[Novo_Avaliador]]=Tabela1[[#This Row],[Avaliador]],"Sim","Não")</f>
        <v>Sim</v>
      </c>
      <c r="Q176" t="b">
        <f>Tabela1[[#This Row],[email_repres]]=Tabela1[[#This Row],[e-mail novo avaliador]]</f>
        <v>1</v>
      </c>
    </row>
    <row r="177" spans="1:17" x14ac:dyDescent="0.25">
      <c r="A177" t="s">
        <v>86</v>
      </c>
      <c r="B177" t="s">
        <v>23</v>
      </c>
      <c r="C177" t="s">
        <v>200</v>
      </c>
      <c r="D177" t="s">
        <v>303</v>
      </c>
      <c r="E177" s="2" t="str">
        <f>VLOOKUP(Tabela1[[#This Row],[Avaliador]],Usuários!A:I,COLUMN($H$1),0)</f>
        <v>jean.rocha</v>
      </c>
      <c r="F177" s="2" t="str">
        <f>VLOOKUP(Tabela1[[#This Row],[Avaliador]],Usuários!$A:$I,COLUMN($I$1),0)</f>
        <v>909jr!@</v>
      </c>
      <c r="G177" s="2" t="str">
        <f>VLOOKUP(Tabela1[[#This Row],[Participante]],Usuários!$A:$I,COLUMN($H$1),0)</f>
        <v>josiel.silva</v>
      </c>
      <c r="H177" s="2" t="str">
        <f>VLOOKUP(Tabela1[[#This Row],[Participante]],Usuários!$A:$I,COLUMN($I$1),0)</f>
        <v>162js!@</v>
      </c>
      <c r="I177" s="1" t="s">
        <v>16</v>
      </c>
      <c r="J177" s="1" t="s">
        <v>16</v>
      </c>
      <c r="K177" t="s">
        <v>200</v>
      </c>
      <c r="L177" t="s">
        <v>308</v>
      </c>
      <c r="M177" t="str">
        <f>IF(Tabela1[[#This Row],[Tipo_aval]]="auto","Ok",IF(ISERROR(VLOOKUP(Tabela1[[#This Row],[Participante]],Atualização!$B:$B,1,FALSE)),"Ok","Atualizar"))</f>
        <v>Ok</v>
      </c>
      <c r="N17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Jean Carlos da Rocha</v>
      </c>
      <c r="O177" t="str">
        <f>IF(IFERROR(VLOOKUP(Tabela1[[#This Row],[Novo_Avaliador]],Usuários!$A:$B,2,FALSE),"")="","",IFERROR(VLOOKUP(Tabela1[[#This Row],[Novo_Avaliador]],Usuários!$A:$B,2,FALSE),""))</f>
        <v>jean.rocha@enind.com.br</v>
      </c>
      <c r="P177" t="str">
        <f>IF(Tabela1[[#This Row],[Novo_Avaliador]]=Tabela1[[#This Row],[Avaliador]],"Sim","Não")</f>
        <v>Sim</v>
      </c>
      <c r="Q177" t="b">
        <f>Tabela1[[#This Row],[email_repres]]=Tabela1[[#This Row],[e-mail novo avaliador]]</f>
        <v>1</v>
      </c>
    </row>
    <row r="178" spans="1:17" x14ac:dyDescent="0.25">
      <c r="A178" t="s">
        <v>206</v>
      </c>
      <c r="B178" t="s">
        <v>67</v>
      </c>
      <c r="C178" t="s">
        <v>207</v>
      </c>
      <c r="D178" t="s">
        <v>297</v>
      </c>
      <c r="E178" s="2" t="str">
        <f>VLOOKUP(Tabela1[[#This Row],[Avaliador]],Usuários!A:I,COLUMN($H$1),0)</f>
        <v>joão.fernandes</v>
      </c>
      <c r="F178" s="2" t="str">
        <f>VLOOKUP(Tabela1[[#This Row],[Avaliador]],Usuários!$A:$I,COLUMN($I$1),0)</f>
        <v>973jf!@</v>
      </c>
      <c r="G178" s="2" t="str">
        <f>VLOOKUP(Tabela1[[#This Row],[Participante]],Usuários!$A:$I,COLUMN($H$1),0)</f>
        <v>wagner.candido</v>
      </c>
      <c r="H178" s="2" t="str">
        <f>VLOOKUP(Tabela1[[#This Row],[Participante]],Usuários!$A:$I,COLUMN($I$1),0)</f>
        <v>168wc!@</v>
      </c>
      <c r="I178" s="1" t="s">
        <v>16</v>
      </c>
      <c r="J178" s="1" t="s">
        <v>16</v>
      </c>
      <c r="K178" t="s">
        <v>207</v>
      </c>
      <c r="L178" t="s">
        <v>307</v>
      </c>
      <c r="M178" t="str">
        <f>IF(Tabela1[[#This Row],[Tipo_aval]]="auto","Ok",IF(ISERROR(VLOOKUP(Tabela1[[#This Row],[Participante]],Atualização!$B:$B,1,FALSE)),"Ok","Atualizar"))</f>
        <v>Ok</v>
      </c>
      <c r="N17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João Fernandes</v>
      </c>
      <c r="O178" t="str">
        <f>IF(IFERROR(VLOOKUP(Tabela1[[#This Row],[Novo_Avaliador]],Usuários!$A:$B,2,FALSE),"")="","",IFERROR(VLOOKUP(Tabela1[[#This Row],[Novo_Avaliador]],Usuários!$A:$B,2,FALSE),""))</f>
        <v>joão.fernandes@enind.com.br</v>
      </c>
      <c r="P178" t="str">
        <f>IF(Tabela1[[#This Row],[Novo_Avaliador]]=Tabela1[[#This Row],[Avaliador]],"Sim","Não")</f>
        <v>Sim</v>
      </c>
      <c r="Q178" t="b">
        <f>Tabela1[[#This Row],[email_repres]]=Tabela1[[#This Row],[e-mail novo avaliador]]</f>
        <v>1</v>
      </c>
    </row>
    <row r="179" spans="1:17" x14ac:dyDescent="0.25">
      <c r="A179" t="s">
        <v>333</v>
      </c>
      <c r="B179" t="s">
        <v>333</v>
      </c>
      <c r="C179" t="s">
        <v>370</v>
      </c>
      <c r="D179" t="s">
        <v>295</v>
      </c>
      <c r="E179" s="2" t="str">
        <f>VLOOKUP(Tabela1[[#This Row],[Avaliador]],Usuários!A:I,COLUMN($H$1),0)</f>
        <v>joao.rodrigues</v>
      </c>
      <c r="F179" s="2" t="str">
        <f>VLOOKUP(Tabela1[[#This Row],[Avaliador]],Usuários!$A:$I,COLUMN($I$1),0)</f>
        <v>680jr!@</v>
      </c>
      <c r="G179" s="2" t="str">
        <f>VLOOKUP(Tabela1[[#This Row],[Participante]],Usuários!$A:$I,COLUMN($H$1),0)</f>
        <v>joao.rodrigues</v>
      </c>
      <c r="H179" s="2" t="str">
        <f>VLOOKUP(Tabela1[[#This Row],[Participante]],Usuários!$A:$I,COLUMN($I$1),0)</f>
        <v>680jr!@</v>
      </c>
      <c r="I179" s="1" t="s">
        <v>6</v>
      </c>
      <c r="J179" s="1" t="s">
        <v>16</v>
      </c>
      <c r="K179" t="s">
        <v>370</v>
      </c>
      <c r="L179" t="s">
        <v>307</v>
      </c>
      <c r="M179" t="str">
        <f>IF(Tabela1[[#This Row],[Tipo_aval]]="auto","Ok",IF(ISERROR(VLOOKUP(Tabela1[[#This Row],[Participante]],Atualização!$B:$B,1,FALSE)),"Ok","Atualizar"))</f>
        <v>Ok</v>
      </c>
      <c r="N17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Joao Pedro Faleco Rodrigues</v>
      </c>
      <c r="O179" t="str">
        <f>IF(IFERROR(VLOOKUP(Tabela1[[#This Row],[Novo_Avaliador]],Usuários!$A:$B,2,FALSE),"")="","",IFERROR(VLOOKUP(Tabela1[[#This Row],[Novo_Avaliador]],Usuários!$A:$B,2,FALSE),""))</f>
        <v>joao.rodrigues@enind.com.br</v>
      </c>
      <c r="P179" t="str">
        <f>IF(Tabela1[[#This Row],[Novo_Avaliador]]=Tabela1[[#This Row],[Avaliador]],"Sim","Não")</f>
        <v>Sim</v>
      </c>
      <c r="Q179" t="b">
        <f>Tabela1[[#This Row],[email_repres]]=Tabela1[[#This Row],[e-mail novo avaliador]]</f>
        <v>1</v>
      </c>
    </row>
    <row r="180" spans="1:17" x14ac:dyDescent="0.25">
      <c r="A180" s="2" t="s">
        <v>209</v>
      </c>
      <c r="B180" s="2" t="s">
        <v>209</v>
      </c>
      <c r="C180" s="2" t="s">
        <v>210</v>
      </c>
      <c r="D180" s="2" t="s">
        <v>295</v>
      </c>
      <c r="E180" s="2" t="str">
        <f>VLOOKUP(Tabela1[[#This Row],[Avaliador]],Usuários!A:I,COLUMN($H$1),0)</f>
        <v>joaquim.souza</v>
      </c>
      <c r="F180" s="2" t="str">
        <f>VLOOKUP(Tabela1[[#This Row],[Avaliador]],Usuários!$A:$I,COLUMN($I$1),0)</f>
        <v>005js!@</v>
      </c>
      <c r="G180" s="2" t="str">
        <f>VLOOKUP(Tabela1[[#This Row],[Participante]],Usuários!$A:$I,COLUMN($H$1),0)</f>
        <v>joaquim.souza</v>
      </c>
      <c r="H180" s="2" t="str">
        <f>VLOOKUP(Tabela1[[#This Row],[Participante]],Usuários!$A:$I,COLUMN($I$1),0)</f>
        <v>005js!@</v>
      </c>
      <c r="I180" s="1" t="s">
        <v>6</v>
      </c>
      <c r="J180" s="1" t="s">
        <v>16</v>
      </c>
      <c r="K180" t="s">
        <v>210</v>
      </c>
      <c r="L180" t="s">
        <v>309</v>
      </c>
      <c r="M180" t="str">
        <f>IF(Tabela1[[#This Row],[Tipo_aval]]="auto","Ok",IF(ISERROR(VLOOKUP(Tabela1[[#This Row],[Participante]],Atualização!$B:$B,1,FALSE)),"Ok","Atualizar"))</f>
        <v>Ok</v>
      </c>
      <c r="N18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0" t="str">
        <f>IF(IFERROR(VLOOKUP(Tabela1[[#This Row],[Novo_Avaliador]],Usuários!$A:$B,2,FALSE),"")="","",IFERROR(VLOOKUP(Tabela1[[#This Row],[Novo_Avaliador]],Usuários!$A:$B,2,FALSE),""))</f>
        <v>joaquim.souza@enind.com.br</v>
      </c>
      <c r="P180" t="str">
        <f>IF(Tabela1[[#This Row],[Novo_Avaliador]]=Tabela1[[#This Row],[Avaliador]],"Sim","Não")</f>
        <v>Sim</v>
      </c>
      <c r="Q180" t="b">
        <f>Tabela1[[#This Row],[email_repres]]=Tabela1[[#This Row],[e-mail novo avaliador]]</f>
        <v>1</v>
      </c>
    </row>
    <row r="181" spans="1:17" x14ac:dyDescent="0.25">
      <c r="A181" s="2" t="s">
        <v>161</v>
      </c>
      <c r="B181" s="2" t="s">
        <v>209</v>
      </c>
      <c r="C181" s="2" t="s">
        <v>210</v>
      </c>
      <c r="D181" s="2" t="s">
        <v>297</v>
      </c>
      <c r="E181" s="2" t="str">
        <f>VLOOKUP(Tabela1[[#This Row],[Avaliador]],Usuários!A:I,COLUMN($H$1),0)</f>
        <v>joaquim.souza</v>
      </c>
      <c r="F181" s="2" t="str">
        <f>VLOOKUP(Tabela1[[#This Row],[Avaliador]],Usuários!$A:$I,COLUMN($I$1),0)</f>
        <v>005js!@</v>
      </c>
      <c r="G181" s="2" t="str">
        <f>VLOOKUP(Tabela1[[#This Row],[Participante]],Usuários!$A:$I,COLUMN($H$1),0)</f>
        <v>gabriela.lima</v>
      </c>
      <c r="H181" s="2" t="str">
        <f>VLOOKUP(Tabela1[[#This Row],[Participante]],Usuários!$A:$I,COLUMN($I$1),0)</f>
        <v>958gl!@</v>
      </c>
      <c r="I181" s="1" t="s">
        <v>16</v>
      </c>
      <c r="J181" s="1" t="s">
        <v>16</v>
      </c>
      <c r="K181" t="s">
        <v>210</v>
      </c>
      <c r="L181" t="s">
        <v>307</v>
      </c>
      <c r="M181" t="str">
        <f>IF(Tabela1[[#This Row],[Tipo_aval]]="auto","Ok",IF(ISERROR(VLOOKUP(Tabela1[[#This Row],[Participante]],Atualização!$B:$B,1,FALSE)),"Ok","Atualizar"))</f>
        <v>Ok</v>
      </c>
      <c r="N18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1" t="str">
        <f>IF(IFERROR(VLOOKUP(Tabela1[[#This Row],[Novo_Avaliador]],Usuários!$A:$B,2,FALSE),"")="","",IFERROR(VLOOKUP(Tabela1[[#This Row],[Novo_Avaliador]],Usuários!$A:$B,2,FALSE),""))</f>
        <v>joaquim.souza@enind.com.br</v>
      </c>
      <c r="P181" t="str">
        <f>IF(Tabela1[[#This Row],[Novo_Avaliador]]=Tabela1[[#This Row],[Avaliador]],"Sim","Não")</f>
        <v>Sim</v>
      </c>
      <c r="Q181" t="b">
        <f>Tabela1[[#This Row],[email_repres]]=Tabela1[[#This Row],[e-mail novo avaliador]]</f>
        <v>1</v>
      </c>
    </row>
    <row r="182" spans="1:17" x14ac:dyDescent="0.25">
      <c r="A182" s="2" t="s">
        <v>212</v>
      </c>
      <c r="B182" s="2" t="s">
        <v>209</v>
      </c>
      <c r="C182" s="2" t="s">
        <v>210</v>
      </c>
      <c r="D182" s="2" t="s">
        <v>297</v>
      </c>
      <c r="E182" s="2" t="str">
        <f>VLOOKUP(Tabela1[[#This Row],[Avaliador]],Usuários!A:I,COLUMN($H$1),0)</f>
        <v>joaquim.souza</v>
      </c>
      <c r="F182" s="2" t="str">
        <f>VLOOKUP(Tabela1[[#This Row],[Avaliador]],Usuários!$A:$I,COLUMN($I$1),0)</f>
        <v>005js!@</v>
      </c>
      <c r="G182" s="2" t="str">
        <f>VLOOKUP(Tabela1[[#This Row],[Participante]],Usuários!$A:$I,COLUMN($H$1),0)</f>
        <v>juliana.melo</v>
      </c>
      <c r="H182" s="2" t="str">
        <f>VLOOKUP(Tabela1[[#This Row],[Participante]],Usuários!$A:$I,COLUMN($I$1),0)</f>
        <v>759jm!@</v>
      </c>
      <c r="I182" s="1" t="s">
        <v>16</v>
      </c>
      <c r="J182" s="1" t="s">
        <v>16</v>
      </c>
      <c r="K182" t="s">
        <v>210</v>
      </c>
      <c r="L182" t="s">
        <v>307</v>
      </c>
      <c r="M182" t="str">
        <f>IF(Tabela1[[#This Row],[Tipo_aval]]="auto","Ok",IF(ISERROR(VLOOKUP(Tabela1[[#This Row],[Participante]],Atualização!$B:$B,1,FALSE)),"Ok","Atualizar"))</f>
        <v>Ok</v>
      </c>
      <c r="N18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2" t="str">
        <f>IF(IFERROR(VLOOKUP(Tabela1[[#This Row],[Novo_Avaliador]],Usuários!$A:$B,2,FALSE),"")="","",IFERROR(VLOOKUP(Tabela1[[#This Row],[Novo_Avaliador]],Usuários!$A:$B,2,FALSE),""))</f>
        <v>joaquim.souza@enind.com.br</v>
      </c>
      <c r="P182" t="str">
        <f>IF(Tabela1[[#This Row],[Novo_Avaliador]]=Tabela1[[#This Row],[Avaliador]],"Sim","Não")</f>
        <v>Sim</v>
      </c>
      <c r="Q182" t="b">
        <f>Tabela1[[#This Row],[email_repres]]=Tabela1[[#This Row],[e-mail novo avaliador]]</f>
        <v>1</v>
      </c>
    </row>
    <row r="183" spans="1:17" x14ac:dyDescent="0.25">
      <c r="A183" t="s">
        <v>326</v>
      </c>
      <c r="B183" t="s">
        <v>209</v>
      </c>
      <c r="C183" t="s">
        <v>210</v>
      </c>
      <c r="D183" t="s">
        <v>297</v>
      </c>
      <c r="E183" s="2" t="str">
        <f>VLOOKUP(Tabela1[[#This Row],[Avaliador]],Usuários!A:I,COLUMN($H$1),0)</f>
        <v>joaquim.souza</v>
      </c>
      <c r="F183" s="2" t="str">
        <f>VLOOKUP(Tabela1[[#This Row],[Avaliador]],Usuários!$A:$I,COLUMN($I$1),0)</f>
        <v>005js!@</v>
      </c>
      <c r="G183" s="2" t="str">
        <f>VLOOKUP(Tabela1[[#This Row],[Participante]],Usuários!$A:$I,COLUMN($H$1),0)</f>
        <v>cleiton.mathias</v>
      </c>
      <c r="H183" s="2" t="str">
        <f>VLOOKUP(Tabela1[[#This Row],[Participante]],Usuários!$A:$I,COLUMN($I$1),0)</f>
        <v>001cm!@</v>
      </c>
      <c r="I183" s="1" t="s">
        <v>16</v>
      </c>
      <c r="J183" s="1" t="s">
        <v>16</v>
      </c>
      <c r="K183" t="s">
        <v>210</v>
      </c>
      <c r="L183" t="s">
        <v>307</v>
      </c>
      <c r="M183" t="str">
        <f>IF(Tabela1[[#This Row],[Tipo_aval]]="auto","Ok",IF(ISERROR(VLOOKUP(Tabela1[[#This Row],[Participante]],Atualização!$B:$B,1,FALSE)),"Ok","Atualizar"))</f>
        <v>Ok</v>
      </c>
      <c r="N18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3" t="str">
        <f>IF(IFERROR(VLOOKUP(Tabela1[[#This Row],[Novo_Avaliador]],Usuários!$A:$B,2,FALSE),"")="","",IFERROR(VLOOKUP(Tabela1[[#This Row],[Novo_Avaliador]],Usuários!$A:$B,2,FALSE),""))</f>
        <v>joaquim.souza@enind.com.br</v>
      </c>
      <c r="P183" t="str">
        <f>IF(Tabela1[[#This Row],[Novo_Avaliador]]=Tabela1[[#This Row],[Avaliador]],"Sim","Não")</f>
        <v>Sim</v>
      </c>
      <c r="Q183" t="b">
        <f>Tabela1[[#This Row],[email_repres]]=Tabela1[[#This Row],[e-mail novo avaliador]]</f>
        <v>1</v>
      </c>
    </row>
    <row r="184" spans="1:17" x14ac:dyDescent="0.25">
      <c r="A184" t="s">
        <v>318</v>
      </c>
      <c r="B184" t="s">
        <v>209</v>
      </c>
      <c r="C184" t="s">
        <v>210</v>
      </c>
      <c r="D184" t="s">
        <v>303</v>
      </c>
      <c r="E184" s="2" t="str">
        <f>VLOOKUP(Tabela1[[#This Row],[Avaliador]],Usuários!A:I,COLUMN($H$1),0)</f>
        <v>joaquim.souza</v>
      </c>
      <c r="F184" s="2" t="str">
        <f>VLOOKUP(Tabela1[[#This Row],[Avaliador]],Usuários!$A:$I,COLUMN($I$1),0)</f>
        <v>005js!@</v>
      </c>
      <c r="G184" s="2" t="str">
        <f>VLOOKUP(Tabela1[[#This Row],[Participante]],Usuários!$A:$I,COLUMN($H$1),0)</f>
        <v>amanda.oliveira</v>
      </c>
      <c r="H184" s="2" t="str">
        <f>VLOOKUP(Tabela1[[#This Row],[Participante]],Usuários!$A:$I,COLUMN($I$1),0)</f>
        <v>894ao!@</v>
      </c>
      <c r="I184" s="1" t="s">
        <v>16</v>
      </c>
      <c r="J184" s="1" t="s">
        <v>16</v>
      </c>
      <c r="K184" t="s">
        <v>210</v>
      </c>
      <c r="L184" t="s">
        <v>307</v>
      </c>
      <c r="M184" t="str">
        <f>IF(Tabela1[[#This Row],[Tipo_aval]]="auto","Ok",IF(ISERROR(VLOOKUP(Tabela1[[#This Row],[Participante]],Atualização!$B:$B,1,FALSE)),"Ok","Atualizar"))</f>
        <v>Ok</v>
      </c>
      <c r="N18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4" t="str">
        <f>IF(IFERROR(VLOOKUP(Tabela1[[#This Row],[Novo_Avaliador]],Usuários!$A:$B,2,FALSE),"")="","",IFERROR(VLOOKUP(Tabela1[[#This Row],[Novo_Avaliador]],Usuários!$A:$B,2,FALSE),""))</f>
        <v>joaquim.souza@enind.com.br</v>
      </c>
      <c r="P184" t="str">
        <f>IF(Tabela1[[#This Row],[Novo_Avaliador]]=Tabela1[[#This Row],[Avaliador]],"Sim","Não")</f>
        <v>Sim</v>
      </c>
      <c r="Q184" t="b">
        <f>Tabela1[[#This Row],[email_repres]]=Tabela1[[#This Row],[e-mail novo avaliador]]</f>
        <v>1</v>
      </c>
    </row>
    <row r="185" spans="1:17" x14ac:dyDescent="0.25">
      <c r="A185" t="s">
        <v>347</v>
      </c>
      <c r="B185" t="s">
        <v>209</v>
      </c>
      <c r="C185" t="s">
        <v>210</v>
      </c>
      <c r="D185" t="s">
        <v>303</v>
      </c>
      <c r="E185" s="2" t="str">
        <f>VLOOKUP(Tabela1[[#This Row],[Avaliador]],Usuários!A:I,COLUMN($H$1),0)</f>
        <v>joaquim.souza</v>
      </c>
      <c r="F185" s="2" t="str">
        <f>VLOOKUP(Tabela1[[#This Row],[Avaliador]],Usuários!$A:$I,COLUMN($I$1),0)</f>
        <v>005js!@</v>
      </c>
      <c r="G185" s="2" t="str">
        <f>VLOOKUP(Tabela1[[#This Row],[Participante]],Usuários!$A:$I,COLUMN($H$1),0)</f>
        <v>rebeca.porto</v>
      </c>
      <c r="H185" s="2" t="str">
        <f>VLOOKUP(Tabela1[[#This Row],[Participante]],Usuários!$A:$I,COLUMN($I$1),0)</f>
        <v>166rp!@</v>
      </c>
      <c r="I185" s="1" t="s">
        <v>16</v>
      </c>
      <c r="J185" s="1" t="s">
        <v>16</v>
      </c>
      <c r="K185" t="s">
        <v>210</v>
      </c>
      <c r="L185" t="s">
        <v>307</v>
      </c>
      <c r="M185" t="str">
        <f>IF(Tabela1[[#This Row],[Tipo_aval]]="auto","Ok",IF(ISERROR(VLOOKUP(Tabela1[[#This Row],[Participante]],Atualização!$B:$B,1,FALSE)),"Ok","Atualizar"))</f>
        <v>Ok</v>
      </c>
      <c r="N18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5" t="str">
        <f>IF(IFERROR(VLOOKUP(Tabela1[[#This Row],[Novo_Avaliador]],Usuários!$A:$B,2,FALSE),"")="","",IFERROR(VLOOKUP(Tabela1[[#This Row],[Novo_Avaliador]],Usuários!$A:$B,2,FALSE),""))</f>
        <v>joaquim.souza@enind.com.br</v>
      </c>
      <c r="P185" t="str">
        <f>IF(Tabela1[[#This Row],[Novo_Avaliador]]=Tabela1[[#This Row],[Avaliador]],"Sim","Não")</f>
        <v>Sim</v>
      </c>
      <c r="Q185" t="b">
        <f>Tabela1[[#This Row],[email_repres]]=Tabela1[[#This Row],[e-mail novo avaliador]]</f>
        <v>1</v>
      </c>
    </row>
    <row r="186" spans="1:17" x14ac:dyDescent="0.25">
      <c r="A186" t="s">
        <v>345</v>
      </c>
      <c r="B186" t="s">
        <v>209</v>
      </c>
      <c r="C186" t="s">
        <v>210</v>
      </c>
      <c r="D186" t="s">
        <v>303</v>
      </c>
      <c r="E186" s="2" t="str">
        <f>VLOOKUP(Tabela1[[#This Row],[Avaliador]],Usuários!A:I,COLUMN($H$1),0)</f>
        <v>joaquim.souza</v>
      </c>
      <c r="F186" s="2" t="str">
        <f>VLOOKUP(Tabela1[[#This Row],[Avaliador]],Usuários!$A:$I,COLUMN($I$1),0)</f>
        <v>005js!@</v>
      </c>
      <c r="G186" s="2" t="str">
        <f>VLOOKUP(Tabela1[[#This Row],[Participante]],Usuários!$A:$I,COLUMN($H$1),0)</f>
        <v>natalia.santos</v>
      </c>
      <c r="H186" s="2" t="str">
        <f>VLOOKUP(Tabela1[[#This Row],[Participante]],Usuários!$A:$I,COLUMN($I$1),0)</f>
        <v>592ns!@</v>
      </c>
      <c r="I186" s="1" t="s">
        <v>16</v>
      </c>
      <c r="J186" s="1" t="s">
        <v>16</v>
      </c>
      <c r="K186" t="str">
        <f>Tabela1[[#This Row],[Email]]</f>
        <v>joaquim.souza@enind.com.br</v>
      </c>
      <c r="L186" t="s">
        <v>307</v>
      </c>
      <c r="M186" t="str">
        <f>IF(Tabela1[[#This Row],[Tipo_aval]]="auto","Ok",IF(ISERROR(VLOOKUP(Tabela1[[#This Row],[Participante]],Atualização!$B:$B,1,FALSE)),"Ok","Atualizar"))</f>
        <v>Atualizar</v>
      </c>
      <c r="N18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Joaquim Pinto de Souza</v>
      </c>
      <c r="O186" t="str">
        <f>IF(IFERROR(VLOOKUP(Tabela1[[#This Row],[Novo_Avaliador]],Usuários!$A:$B,2,FALSE),"")="","",IFERROR(VLOOKUP(Tabela1[[#This Row],[Novo_Avaliador]],Usuários!$A:$B,2,FALSE),""))</f>
        <v>joaquim.souza@enind.com.br</v>
      </c>
      <c r="P186" t="str">
        <f>IF(Tabela1[[#This Row],[Novo_Avaliador]]=Tabela1[[#This Row],[Avaliador]],"Sim","Não")</f>
        <v>Sim</v>
      </c>
      <c r="Q186" t="b">
        <f>Tabela1[[#This Row],[email_repres]]=Tabela1[[#This Row],[e-mail novo avaliador]]</f>
        <v>1</v>
      </c>
    </row>
    <row r="187" spans="1:17" x14ac:dyDescent="0.25">
      <c r="A187" t="s">
        <v>328</v>
      </c>
      <c r="B187" t="s">
        <v>328</v>
      </c>
      <c r="C187" t="s">
        <v>365</v>
      </c>
      <c r="D187" t="s">
        <v>295</v>
      </c>
      <c r="E187" s="2" t="str">
        <f>VLOOKUP(Tabela1[[#This Row],[Avaliador]],Usuários!A:I,COLUMN($H$1),0)</f>
        <v>jorge.mota</v>
      </c>
      <c r="F187" s="2" t="str">
        <f>VLOOKUP(Tabela1[[#This Row],[Avaliador]],Usuários!$A:$I,COLUMN($I$1),0)</f>
        <v>602jm!@</v>
      </c>
      <c r="G187" s="2" t="str">
        <f>VLOOKUP(Tabela1[[#This Row],[Participante]],Usuários!$A:$I,COLUMN($H$1),0)</f>
        <v>jorge.mota</v>
      </c>
      <c r="H187" s="2" t="str">
        <f>VLOOKUP(Tabela1[[#This Row],[Participante]],Usuários!$A:$I,COLUMN($I$1),0)</f>
        <v>602jm!@</v>
      </c>
      <c r="I187" s="1" t="s">
        <v>6</v>
      </c>
      <c r="J187" s="1" t="s">
        <v>16</v>
      </c>
      <c r="K187" t="s">
        <v>365</v>
      </c>
      <c r="L187" t="s">
        <v>307</v>
      </c>
      <c r="M187" t="str">
        <f>IF(Tabela1[[#This Row],[Tipo_aval]]="auto","Ok",IF(ISERROR(VLOOKUP(Tabela1[[#This Row],[Participante]],Atualização!$B:$B,1,FALSE)),"Ok","Atualizar"))</f>
        <v>Ok</v>
      </c>
      <c r="N18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Jorge Antonio Ferreira da Mota</v>
      </c>
      <c r="O187" t="str">
        <f>IF(IFERROR(VLOOKUP(Tabela1[[#This Row],[Novo_Avaliador]],Usuários!$A:$B,2,FALSE),"")="","",IFERROR(VLOOKUP(Tabela1[[#This Row],[Novo_Avaliador]],Usuários!$A:$B,2,FALSE),""))</f>
        <v>jorge.mota@enind.com.br</v>
      </c>
      <c r="P187" t="str">
        <f>IF(Tabela1[[#This Row],[Novo_Avaliador]]=Tabela1[[#This Row],[Avaliador]],"Sim","Não")</f>
        <v>Sim</v>
      </c>
      <c r="Q187" t="b">
        <f>Tabela1[[#This Row],[email_repres]]=Tabela1[[#This Row],[e-mail novo avaliador]]</f>
        <v>1</v>
      </c>
    </row>
    <row r="188" spans="1:17" x14ac:dyDescent="0.25">
      <c r="A188" s="2" t="s">
        <v>99</v>
      </c>
      <c r="B188" s="2" t="s">
        <v>99</v>
      </c>
      <c r="C188" s="2" t="s">
        <v>214</v>
      </c>
      <c r="D188" s="2" t="s">
        <v>295</v>
      </c>
      <c r="E188" s="2" t="str">
        <f>VLOOKUP(Tabela1[[#This Row],[Avaliador]],Usuários!A:I,COLUMN($H$1),0)</f>
        <v>jose.alves</v>
      </c>
      <c r="F188" s="2" t="str">
        <f>VLOOKUP(Tabela1[[#This Row],[Avaliador]],Usuários!$A:$I,COLUMN($I$1),0)</f>
        <v>882ja!@</v>
      </c>
      <c r="G188" s="2" t="str">
        <f>VLOOKUP(Tabela1[[#This Row],[Participante]],Usuários!$A:$I,COLUMN($H$1),0)</f>
        <v>jose.alves</v>
      </c>
      <c r="H188" s="2" t="str">
        <f>VLOOKUP(Tabela1[[#This Row],[Participante]],Usuários!$A:$I,COLUMN($I$1),0)</f>
        <v>882ja!@</v>
      </c>
      <c r="I188" s="1" t="s">
        <v>6</v>
      </c>
      <c r="J188" s="1" t="s">
        <v>16</v>
      </c>
      <c r="K188" t="s">
        <v>214</v>
      </c>
      <c r="L188" t="s">
        <v>307</v>
      </c>
      <c r="M188" t="str">
        <f>IF(Tabela1[[#This Row],[Tipo_aval]]="auto","Ok",IF(ISERROR(VLOOKUP(Tabela1[[#This Row],[Participante]],Atualização!$B:$B,1,FALSE)),"Ok","Atualizar"))</f>
        <v>Ok</v>
      </c>
      <c r="N18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Jose Roberto Fernandes Alves</v>
      </c>
      <c r="O188" t="str">
        <f>IF(IFERROR(VLOOKUP(Tabela1[[#This Row],[Novo_Avaliador]],Usuários!$A:$B,2,FALSE),"")="","",IFERROR(VLOOKUP(Tabela1[[#This Row],[Novo_Avaliador]],Usuários!$A:$B,2,FALSE),""))</f>
        <v>jose.alves@enind.com.br</v>
      </c>
      <c r="P188" t="str">
        <f>IF(Tabela1[[#This Row],[Novo_Avaliador]]=Tabela1[[#This Row],[Avaliador]],"Sim","Não")</f>
        <v>Sim</v>
      </c>
      <c r="Q188" t="b">
        <f>Tabela1[[#This Row],[email_repres]]=Tabela1[[#This Row],[e-mail novo avaliador]]</f>
        <v>1</v>
      </c>
    </row>
    <row r="189" spans="1:17" x14ac:dyDescent="0.25">
      <c r="A189" t="s">
        <v>335</v>
      </c>
      <c r="B189" t="s">
        <v>335</v>
      </c>
      <c r="C189" t="s">
        <v>434</v>
      </c>
      <c r="D189" t="s">
        <v>295</v>
      </c>
      <c r="E189" s="2" t="str">
        <f>VLOOKUP(Tabela1[[#This Row],[Avaliador]],Usuários!A:I,COLUMN($H$1),0)</f>
        <v>jose.filho</v>
      </c>
      <c r="F189" s="2" t="str">
        <f>VLOOKUP(Tabela1[[#This Row],[Avaliador]],Usuários!$A:$I,COLUMN($I$1),0)</f>
        <v>058jf!@</v>
      </c>
      <c r="G189" s="2" t="str">
        <f>VLOOKUP(Tabela1[[#This Row],[Participante]],Usuários!$A:$I,COLUMN($H$1),0)</f>
        <v>jose.filho</v>
      </c>
      <c r="H189" s="2" t="str">
        <f>VLOOKUP(Tabela1[[#This Row],[Participante]],Usuários!$A:$I,COLUMN($I$1),0)</f>
        <v>058jf!@</v>
      </c>
      <c r="I189" s="1" t="s">
        <v>6</v>
      </c>
      <c r="J189" s="1" t="s">
        <v>16</v>
      </c>
      <c r="K189" t="s">
        <v>434</v>
      </c>
      <c r="L189" t="s">
        <v>307</v>
      </c>
      <c r="M189" t="str">
        <f>IF(Tabela1[[#This Row],[Tipo_aval]]="auto","Ok",IF(ISERROR(VLOOKUP(Tabela1[[#This Row],[Participante]],Atualização!$B:$B,1,FALSE)),"Ok","Atualizar"))</f>
        <v>Ok</v>
      </c>
      <c r="N18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Jose Martins Filho</v>
      </c>
      <c r="O189" t="str">
        <f>IF(IFERROR(VLOOKUP(Tabela1[[#This Row],[Novo_Avaliador]],Usuários!$A:$B,2,FALSE),"")="","",IFERROR(VLOOKUP(Tabela1[[#This Row],[Novo_Avaliador]],Usuários!$A:$B,2,FALSE),""))</f>
        <v>jose.martins@enindservicos.com.br</v>
      </c>
      <c r="P189" t="str">
        <f>IF(Tabela1[[#This Row],[Novo_Avaliador]]=Tabela1[[#This Row],[Avaliador]],"Sim","Não")</f>
        <v>Sim</v>
      </c>
      <c r="Q189" t="b">
        <f>Tabela1[[#This Row],[email_repres]]=Tabela1[[#This Row],[e-mail novo avaliador]]</f>
        <v>1</v>
      </c>
    </row>
    <row r="190" spans="1:17" x14ac:dyDescent="0.25">
      <c r="A190" t="s">
        <v>212</v>
      </c>
      <c r="B190" t="s">
        <v>212</v>
      </c>
      <c r="C190" t="s">
        <v>215</v>
      </c>
      <c r="D190" t="s">
        <v>295</v>
      </c>
      <c r="E190" s="2" t="str">
        <f>VLOOKUP(Tabela1[[#This Row],[Avaliador]],Usuários!A:I,COLUMN($H$1),0)</f>
        <v>juliana.melo</v>
      </c>
      <c r="F190" s="2" t="str">
        <f>VLOOKUP(Tabela1[[#This Row],[Avaliador]],Usuários!$A:$I,COLUMN($I$1),0)</f>
        <v>759jm!@</v>
      </c>
      <c r="G190" s="2" t="str">
        <f>VLOOKUP(Tabela1[[#This Row],[Participante]],Usuários!$A:$I,COLUMN($H$1),0)</f>
        <v>juliana.melo</v>
      </c>
      <c r="H190" s="2" t="str">
        <f>VLOOKUP(Tabela1[[#This Row],[Participante]],Usuários!$A:$I,COLUMN($I$1),0)</f>
        <v>759jm!@</v>
      </c>
      <c r="I190" s="1" t="s">
        <v>6</v>
      </c>
      <c r="J190" s="1" t="s">
        <v>16</v>
      </c>
      <c r="K190" s="7" t="s">
        <v>215</v>
      </c>
      <c r="L190" t="s">
        <v>307</v>
      </c>
      <c r="M190" t="str">
        <f>IF(Tabela1[[#This Row],[Tipo_aval]]="auto","Ok",IF(ISERROR(VLOOKUP(Tabela1[[#This Row],[Participante]],Atualização!$B:$B,1,FALSE)),"Ok","Atualizar"))</f>
        <v>Ok</v>
      </c>
      <c r="N19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Juliana Fogagnolo Melo Loiola</v>
      </c>
      <c r="O190" t="str">
        <f>IF(IFERROR(VLOOKUP(Tabela1[[#This Row],[Novo_Avaliador]],Usuários!$A:$B,2,FALSE),"")="","",IFERROR(VLOOKUP(Tabela1[[#This Row],[Novo_Avaliador]],Usuários!$A:$B,2,FALSE),""))</f>
        <v>juliana.melo@enind.com.br</v>
      </c>
      <c r="P190" t="str">
        <f>IF(Tabela1[[#This Row],[Novo_Avaliador]]=Tabela1[[#This Row],[Avaliador]],"Sim","Não")</f>
        <v>Sim</v>
      </c>
      <c r="Q190" t="b">
        <f>Tabela1[[#This Row],[email_repres]]=Tabela1[[#This Row],[e-mail novo avaliador]]</f>
        <v>1</v>
      </c>
    </row>
    <row r="191" spans="1:17" x14ac:dyDescent="0.25">
      <c r="A191" t="s">
        <v>65</v>
      </c>
      <c r="B191" t="s">
        <v>65</v>
      </c>
      <c r="C191" t="s">
        <v>216</v>
      </c>
      <c r="D191" t="s">
        <v>295</v>
      </c>
      <c r="E191" s="2" t="str">
        <f>VLOOKUP(Tabela1[[#This Row],[Avaliador]],Usuários!A:I,COLUMN($H$1),0)</f>
        <v>juliana.santos</v>
      </c>
      <c r="F191" s="2" t="str">
        <f>VLOOKUP(Tabela1[[#This Row],[Avaliador]],Usuários!$A:$I,COLUMN($I$1),0)</f>
        <v>780js!@</v>
      </c>
      <c r="G191" s="2" t="str">
        <f>VLOOKUP(Tabela1[[#This Row],[Participante]],Usuários!$A:$I,COLUMN($H$1),0)</f>
        <v>juliana.santos</v>
      </c>
      <c r="H191" s="2" t="str">
        <f>VLOOKUP(Tabela1[[#This Row],[Participante]],Usuários!$A:$I,COLUMN($I$1),0)</f>
        <v>780js!@</v>
      </c>
      <c r="I191" s="1" t="s">
        <v>6</v>
      </c>
      <c r="J191" s="1" t="s">
        <v>16</v>
      </c>
      <c r="K191" t="s">
        <v>216</v>
      </c>
      <c r="L191" t="s">
        <v>307</v>
      </c>
      <c r="M191" t="str">
        <f>IF(Tabela1[[#This Row],[Tipo_aval]]="auto","Ok",IF(ISERROR(VLOOKUP(Tabela1[[#This Row],[Participante]],Atualização!$B:$B,1,FALSE)),"Ok","Atualizar"))</f>
        <v>Ok</v>
      </c>
      <c r="N19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Juliana Matos Santos</v>
      </c>
      <c r="O191" t="str">
        <f>IF(IFERROR(VLOOKUP(Tabela1[[#This Row],[Novo_Avaliador]],Usuários!$A:$B,2,FALSE),"")="","",IFERROR(VLOOKUP(Tabela1[[#This Row],[Novo_Avaliador]],Usuários!$A:$B,2,FALSE),""))</f>
        <v>juliana.santos@enind.com.br</v>
      </c>
      <c r="P191" t="str">
        <f>IF(Tabela1[[#This Row],[Novo_Avaliador]]=Tabela1[[#This Row],[Avaliador]],"Sim","Não")</f>
        <v>Sim</v>
      </c>
      <c r="Q191" t="b">
        <f>Tabela1[[#This Row],[email_repres]]=Tabela1[[#This Row],[e-mail novo avaliador]]</f>
        <v>1</v>
      </c>
    </row>
    <row r="192" spans="1:17" x14ac:dyDescent="0.25">
      <c r="A192" t="s">
        <v>336</v>
      </c>
      <c r="B192" t="s">
        <v>336</v>
      </c>
      <c r="C192" t="s">
        <v>373</v>
      </c>
      <c r="D192" t="s">
        <v>295</v>
      </c>
      <c r="E192" s="2" t="str">
        <f>VLOOKUP(Tabela1[[#This Row],[Avaliador]],Usuários!A:I,COLUMN($H$1),0)</f>
        <v>leandro.cabrini</v>
      </c>
      <c r="F192" s="2" t="str">
        <f>VLOOKUP(Tabela1[[#This Row],[Avaliador]],Usuários!$A:$I,COLUMN($I$1),0)</f>
        <v>723lc!@</v>
      </c>
      <c r="G192" s="2" t="str">
        <f>VLOOKUP(Tabela1[[#This Row],[Participante]],Usuários!$A:$I,COLUMN($H$1),0)</f>
        <v>leandro.cabrini</v>
      </c>
      <c r="H192" s="2" t="str">
        <f>VLOOKUP(Tabela1[[#This Row],[Participante]],Usuários!$A:$I,COLUMN($I$1),0)</f>
        <v>723lc!@</v>
      </c>
      <c r="I192" s="1" t="s">
        <v>6</v>
      </c>
      <c r="J192" s="1" t="s">
        <v>16</v>
      </c>
      <c r="K192" t="s">
        <v>373</v>
      </c>
      <c r="L192" t="s">
        <v>307</v>
      </c>
      <c r="M192" t="str">
        <f>IF(Tabela1[[#This Row],[Tipo_aval]]="auto","Ok",IF(ISERROR(VLOOKUP(Tabela1[[#This Row],[Participante]],Atualização!$B:$B,1,FALSE)),"Ok","Atualizar"))</f>
        <v>Ok</v>
      </c>
      <c r="N19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Leandro Cabrini</v>
      </c>
      <c r="O192" t="str">
        <f>IF(IFERROR(VLOOKUP(Tabela1[[#This Row],[Novo_Avaliador]],Usuários!$A:$B,2,FALSE),"")="","",IFERROR(VLOOKUP(Tabela1[[#This Row],[Novo_Avaliador]],Usuários!$A:$B,2,FALSE),""))</f>
        <v>leandro.cabrini@enind.com.br</v>
      </c>
      <c r="P192" t="str">
        <f>IF(Tabela1[[#This Row],[Novo_Avaliador]]=Tabela1[[#This Row],[Avaliador]],"Sim","Não")</f>
        <v>Sim</v>
      </c>
      <c r="Q192" t="b">
        <f>Tabela1[[#This Row],[email_repres]]=Tabela1[[#This Row],[e-mail novo avaliador]]</f>
        <v>1</v>
      </c>
    </row>
    <row r="193" spans="1:17" x14ac:dyDescent="0.25">
      <c r="A193" t="s">
        <v>337</v>
      </c>
      <c r="B193" t="s">
        <v>337</v>
      </c>
      <c r="C193" t="s">
        <v>374</v>
      </c>
      <c r="D193" t="s">
        <v>295</v>
      </c>
      <c r="E193" s="2" t="str">
        <f>VLOOKUP(Tabela1[[#This Row],[Avaliador]],Usuários!A:I,COLUMN($H$1),0)</f>
        <v>luan.carvalho</v>
      </c>
      <c r="F193" s="2" t="str">
        <f>VLOOKUP(Tabela1[[#This Row],[Avaliador]],Usuários!$A:$I,COLUMN($I$1),0)</f>
        <v>889lc!@</v>
      </c>
      <c r="G193" s="2" t="str">
        <f>VLOOKUP(Tabela1[[#This Row],[Participante]],Usuários!$A:$I,COLUMN($H$1),0)</f>
        <v>luan.carvalho</v>
      </c>
      <c r="H193" s="2" t="str">
        <f>VLOOKUP(Tabela1[[#This Row],[Participante]],Usuários!$A:$I,COLUMN($I$1),0)</f>
        <v>889lc!@</v>
      </c>
      <c r="I193" s="1" t="s">
        <v>6</v>
      </c>
      <c r="J193" s="1" t="s">
        <v>16</v>
      </c>
      <c r="K193" t="s">
        <v>374</v>
      </c>
      <c r="L193" t="s">
        <v>307</v>
      </c>
      <c r="M193" t="str">
        <f>IF(Tabela1[[#This Row],[Tipo_aval]]="auto","Ok",IF(ISERROR(VLOOKUP(Tabela1[[#This Row],[Participante]],Atualização!$B:$B,1,FALSE)),"Ok","Atualizar"))</f>
        <v>Ok</v>
      </c>
      <c r="N19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Luan Henrique Alves de Carvalho</v>
      </c>
      <c r="O193" t="str">
        <f>IF(IFERROR(VLOOKUP(Tabela1[[#This Row],[Novo_Avaliador]],Usuários!$A:$B,2,FALSE),"")="","",IFERROR(VLOOKUP(Tabela1[[#This Row],[Novo_Avaliador]],Usuários!$A:$B,2,FALSE),""))</f>
        <v>luan.carvalho@enind.com.br</v>
      </c>
      <c r="P193" t="str">
        <f>IF(Tabela1[[#This Row],[Novo_Avaliador]]=Tabela1[[#This Row],[Avaliador]],"Sim","Não")</f>
        <v>Sim</v>
      </c>
      <c r="Q193" t="b">
        <f>Tabela1[[#This Row],[email_repres]]=Tabela1[[#This Row],[e-mail novo avaliador]]</f>
        <v>1</v>
      </c>
    </row>
    <row r="194" spans="1:17" x14ac:dyDescent="0.25">
      <c r="A194" s="2" t="s">
        <v>68</v>
      </c>
      <c r="B194" s="2" t="s">
        <v>68</v>
      </c>
      <c r="C194" s="2" t="s">
        <v>217</v>
      </c>
      <c r="D194" s="2" t="s">
        <v>295</v>
      </c>
      <c r="E194" s="2" t="str">
        <f>VLOOKUP(Tabela1[[#This Row],[Avaliador]],Usuários!A:I,COLUMN($H$1),0)</f>
        <v>luana.silva</v>
      </c>
      <c r="F194" s="2" t="str">
        <f>VLOOKUP(Tabela1[[#This Row],[Avaliador]],Usuários!$A:$I,COLUMN($I$1),0)</f>
        <v>292ls!@</v>
      </c>
      <c r="G194" s="2" t="str">
        <f>VLOOKUP(Tabela1[[#This Row],[Participante]],Usuários!$A:$I,COLUMN($H$1),0)</f>
        <v>luana.silva</v>
      </c>
      <c r="H194" s="2" t="str">
        <f>VLOOKUP(Tabela1[[#This Row],[Participante]],Usuários!$A:$I,COLUMN($I$1),0)</f>
        <v>292ls!@</v>
      </c>
      <c r="I194" s="1" t="s">
        <v>6</v>
      </c>
      <c r="J194" s="1" t="s">
        <v>16</v>
      </c>
      <c r="K194" s="7" t="s">
        <v>217</v>
      </c>
      <c r="L194" t="s">
        <v>307</v>
      </c>
      <c r="M194" t="str">
        <f>IF(Tabela1[[#This Row],[Tipo_aval]]="auto","Ok",IF(ISERROR(VLOOKUP(Tabela1[[#This Row],[Participante]],Atualização!$B:$B,1,FALSE)),"Ok","Atualizar"))</f>
        <v>Ok</v>
      </c>
      <c r="N19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Luana Eugenio da Silva</v>
      </c>
      <c r="O194" t="str">
        <f>IF(IFERROR(VLOOKUP(Tabela1[[#This Row],[Novo_Avaliador]],Usuários!$A:$B,2,FALSE),"")="","",IFERROR(VLOOKUP(Tabela1[[#This Row],[Novo_Avaliador]],Usuários!$A:$B,2,FALSE),""))</f>
        <v>luana.silva@enind.com.br</v>
      </c>
      <c r="P194" t="str">
        <f>IF(Tabela1[[#This Row],[Novo_Avaliador]]=Tabela1[[#This Row],[Avaliador]],"Sim","Não")</f>
        <v>Sim</v>
      </c>
      <c r="Q194" t="b">
        <f>Tabela1[[#This Row],[email_repres]]=Tabela1[[#This Row],[e-mail novo avaliador]]</f>
        <v>1</v>
      </c>
    </row>
    <row r="195" spans="1:17" x14ac:dyDescent="0.25">
      <c r="A195" s="2" t="s">
        <v>123</v>
      </c>
      <c r="B195" s="2" t="s">
        <v>123</v>
      </c>
      <c r="C195" s="2" t="s">
        <v>218</v>
      </c>
      <c r="D195" s="2" t="s">
        <v>295</v>
      </c>
      <c r="E195" s="2" t="str">
        <f>VLOOKUP(Tabela1[[#This Row],[Avaliador]],Usuários!A:I,COLUMN($H$1),0)</f>
        <v>lucas.almeida</v>
      </c>
      <c r="F195" s="2" t="str">
        <f>VLOOKUP(Tabela1[[#This Row],[Avaliador]],Usuários!$A:$I,COLUMN($I$1),0)</f>
        <v>339la!@</v>
      </c>
      <c r="G195" s="2" t="str">
        <f>VLOOKUP(Tabela1[[#This Row],[Participante]],Usuários!$A:$I,COLUMN($H$1),0)</f>
        <v>lucas.almeida</v>
      </c>
      <c r="H195" s="2" t="str">
        <f>VLOOKUP(Tabela1[[#This Row],[Participante]],Usuários!$A:$I,COLUMN($I$1),0)</f>
        <v>339la!@</v>
      </c>
      <c r="I195" s="1" t="s">
        <v>6</v>
      </c>
      <c r="J195" s="1" t="s">
        <v>16</v>
      </c>
      <c r="K195" t="s">
        <v>218</v>
      </c>
      <c r="L195" t="s">
        <v>309</v>
      </c>
      <c r="M195" t="str">
        <f>IF(Tabela1[[#This Row],[Tipo_aval]]="auto","Ok",IF(ISERROR(VLOOKUP(Tabela1[[#This Row],[Participante]],Atualização!$B:$B,1,FALSE)),"Ok","Atualizar"))</f>
        <v>Ok</v>
      </c>
      <c r="N19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Lucas Ramos de Almeida Pasquantonio</v>
      </c>
      <c r="O195" t="str">
        <f>IF(IFERROR(VLOOKUP(Tabela1[[#This Row],[Novo_Avaliador]],Usuários!$A:$B,2,FALSE),"")="","",IFERROR(VLOOKUP(Tabela1[[#This Row],[Novo_Avaliador]],Usuários!$A:$B,2,FALSE),""))</f>
        <v>lucas.almeida@enind.com.br</v>
      </c>
      <c r="P195" t="str">
        <f>IF(Tabela1[[#This Row],[Novo_Avaliador]]=Tabela1[[#This Row],[Avaliador]],"Sim","Não")</f>
        <v>Sim</v>
      </c>
      <c r="Q195" t="b">
        <f>Tabela1[[#This Row],[email_repres]]=Tabela1[[#This Row],[e-mail novo avaliador]]</f>
        <v>1</v>
      </c>
    </row>
    <row r="196" spans="1:17" x14ac:dyDescent="0.25">
      <c r="A196" s="2" t="s">
        <v>220</v>
      </c>
      <c r="B196" s="2" t="s">
        <v>123</v>
      </c>
      <c r="C196" s="2" t="s">
        <v>218</v>
      </c>
      <c r="D196" s="2" t="s">
        <v>297</v>
      </c>
      <c r="E196" s="2" t="str">
        <f>VLOOKUP(Tabela1[[#This Row],[Avaliador]],Usuários!A:I,COLUMN($H$1),0)</f>
        <v>lucas.almeida</v>
      </c>
      <c r="F196" s="2" t="str">
        <f>VLOOKUP(Tabela1[[#This Row],[Avaliador]],Usuários!$A:$I,COLUMN($I$1),0)</f>
        <v>339la!@</v>
      </c>
      <c r="G196" s="2" t="str">
        <f>VLOOKUP(Tabela1[[#This Row],[Participante]],Usuários!$A:$I,COLUMN($H$1),0)</f>
        <v>talita.peixoto</v>
      </c>
      <c r="H196" s="2" t="str">
        <f>VLOOKUP(Tabela1[[#This Row],[Participante]],Usuários!$A:$I,COLUMN($I$1),0)</f>
        <v>924tp!@</v>
      </c>
      <c r="I196" s="1" t="s">
        <v>16</v>
      </c>
      <c r="J196" s="1" t="s">
        <v>16</v>
      </c>
      <c r="K196" t="s">
        <v>218</v>
      </c>
      <c r="L196" t="s">
        <v>307</v>
      </c>
      <c r="M196" t="str">
        <f>IF(Tabela1[[#This Row],[Tipo_aval]]="auto","Ok",IF(ISERROR(VLOOKUP(Tabela1[[#This Row],[Participante]],Atualização!$B:$B,1,FALSE)),"Ok","Atualizar"))</f>
        <v>Ok</v>
      </c>
      <c r="N19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Lucas Ramos de Almeida Pasquantonio</v>
      </c>
      <c r="O196" t="str">
        <f>IF(IFERROR(VLOOKUP(Tabela1[[#This Row],[Novo_Avaliador]],Usuários!$A:$B,2,FALSE),"")="","",IFERROR(VLOOKUP(Tabela1[[#This Row],[Novo_Avaliador]],Usuários!$A:$B,2,FALSE),""))</f>
        <v>lucas.almeida@enind.com.br</v>
      </c>
      <c r="P196" t="str">
        <f>IF(Tabela1[[#This Row],[Novo_Avaliador]]=Tabela1[[#This Row],[Avaliador]],"Sim","Não")</f>
        <v>Sim</v>
      </c>
      <c r="Q196" t="b">
        <f>Tabela1[[#This Row],[email_repres]]=Tabela1[[#This Row],[e-mail novo avaliador]]</f>
        <v>1</v>
      </c>
    </row>
    <row r="197" spans="1:17" x14ac:dyDescent="0.25">
      <c r="A197" t="s">
        <v>120</v>
      </c>
      <c r="B197" t="s">
        <v>123</v>
      </c>
      <c r="C197" t="s">
        <v>218</v>
      </c>
      <c r="D197" t="s">
        <v>303</v>
      </c>
      <c r="E197" s="2" t="str">
        <f>VLOOKUP(Tabela1[[#This Row],[Avaliador]],Usuários!A:I,COLUMN($H$1),0)</f>
        <v>lucas.almeida</v>
      </c>
      <c r="F197" s="2" t="str">
        <f>VLOOKUP(Tabela1[[#This Row],[Avaliador]],Usuários!$A:$I,COLUMN($I$1),0)</f>
        <v>339la!@</v>
      </c>
      <c r="G197" s="2" t="str">
        <f>VLOOKUP(Tabela1[[#This Row],[Participante]],Usuários!$A:$I,COLUMN($H$1),0)</f>
        <v>everaldo.pontes</v>
      </c>
      <c r="H197" s="2" t="str">
        <f>VLOOKUP(Tabela1[[#This Row],[Participante]],Usuários!$A:$I,COLUMN($I$1),0)</f>
        <v>974ep!@</v>
      </c>
      <c r="I197" s="1" t="s">
        <v>16</v>
      </c>
      <c r="J197" s="1" t="s">
        <v>16</v>
      </c>
      <c r="K197" t="s">
        <v>218</v>
      </c>
      <c r="L197" t="s">
        <v>307</v>
      </c>
      <c r="M197" t="str">
        <f>IF(Tabela1[[#This Row],[Tipo_aval]]="auto","Ok",IF(ISERROR(VLOOKUP(Tabela1[[#This Row],[Participante]],Atualização!$B:$B,1,FALSE)),"Ok","Atualizar"))</f>
        <v>Ok</v>
      </c>
      <c r="N19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Lucas Ramos de Almeida Pasquantonio</v>
      </c>
      <c r="O197" t="str">
        <f>IF(IFERROR(VLOOKUP(Tabela1[[#This Row],[Novo_Avaliador]],Usuários!$A:$B,2,FALSE),"")="","",IFERROR(VLOOKUP(Tabela1[[#This Row],[Novo_Avaliador]],Usuários!$A:$B,2,FALSE),""))</f>
        <v>lucas.almeida@enind.com.br</v>
      </c>
      <c r="P197" t="str">
        <f>IF(Tabela1[[#This Row],[Novo_Avaliador]]=Tabela1[[#This Row],[Avaliador]],"Sim","Não")</f>
        <v>Sim</v>
      </c>
      <c r="Q197" t="b">
        <f>Tabela1[[#This Row],[email_repres]]=Tabela1[[#This Row],[e-mail novo avaliador]]</f>
        <v>1</v>
      </c>
    </row>
    <row r="198" spans="1:17" x14ac:dyDescent="0.25">
      <c r="A198" t="s">
        <v>343</v>
      </c>
      <c r="B198" t="s">
        <v>123</v>
      </c>
      <c r="C198" t="s">
        <v>218</v>
      </c>
      <c r="D198" t="s">
        <v>303</v>
      </c>
      <c r="E198" s="2" t="str">
        <f>VLOOKUP(Tabela1[[#This Row],[Avaliador]],Usuários!A:I,COLUMN($H$1),0)</f>
        <v>lucas.almeida</v>
      </c>
      <c r="F198" s="2" t="str">
        <f>VLOOKUP(Tabela1[[#This Row],[Avaliador]],Usuários!$A:$I,COLUMN($I$1),0)</f>
        <v>339la!@</v>
      </c>
      <c r="G198" s="2" t="str">
        <f>VLOOKUP(Tabela1[[#This Row],[Participante]],Usuários!$A:$I,COLUMN($H$1),0)</f>
        <v>matheus.silva</v>
      </c>
      <c r="H198" s="2" t="str">
        <f>VLOOKUP(Tabela1[[#This Row],[Participante]],Usuários!$A:$I,COLUMN($I$1),0)</f>
        <v>526ms!@</v>
      </c>
      <c r="I198" s="1" t="s">
        <v>16</v>
      </c>
      <c r="J198" s="1" t="s">
        <v>16</v>
      </c>
      <c r="K198" t="s">
        <v>218</v>
      </c>
      <c r="L198" t="s">
        <v>307</v>
      </c>
      <c r="M198" t="str">
        <f>IF(Tabela1[[#This Row],[Tipo_aval]]="auto","Ok",IF(ISERROR(VLOOKUP(Tabela1[[#This Row],[Participante]],Atualização!$B:$B,1,FALSE)),"Ok","Atualizar"))</f>
        <v>Ok</v>
      </c>
      <c r="N19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Lucas Ramos de Almeida Pasquantonio</v>
      </c>
      <c r="O198" t="str">
        <f>IF(IFERROR(VLOOKUP(Tabela1[[#This Row],[Novo_Avaliador]],Usuários!$A:$B,2,FALSE),"")="","",IFERROR(VLOOKUP(Tabela1[[#This Row],[Novo_Avaliador]],Usuários!$A:$B,2,FALSE),""))</f>
        <v>lucas.almeida@enind.com.br</v>
      </c>
      <c r="P198" t="str">
        <f>IF(Tabela1[[#This Row],[Novo_Avaliador]]=Tabela1[[#This Row],[Avaliador]],"Sim","Não")</f>
        <v>Sim</v>
      </c>
      <c r="Q198" t="b">
        <f>Tabela1[[#This Row],[email_repres]]=Tabela1[[#This Row],[e-mail novo avaliador]]</f>
        <v>1</v>
      </c>
    </row>
    <row r="199" spans="1:17" x14ac:dyDescent="0.25">
      <c r="A199" t="s">
        <v>344</v>
      </c>
      <c r="B199" t="s">
        <v>123</v>
      </c>
      <c r="C199" t="s">
        <v>218</v>
      </c>
      <c r="D199" t="s">
        <v>303</v>
      </c>
      <c r="E199" s="2" t="str">
        <f>VLOOKUP(Tabela1[[#This Row],[Avaliador]],Usuários!A:I,COLUMN($H$1),0)</f>
        <v>lucas.almeida</v>
      </c>
      <c r="F199" s="2" t="str">
        <f>VLOOKUP(Tabela1[[#This Row],[Avaliador]],Usuários!$A:$I,COLUMN($I$1),0)</f>
        <v>339la!@</v>
      </c>
      <c r="G199" s="2" t="str">
        <f>VLOOKUP(Tabela1[[#This Row],[Participante]],Usuários!$A:$I,COLUMN($H$1),0)</f>
        <v>milena.alkmin</v>
      </c>
      <c r="H199" s="2" t="str">
        <f>VLOOKUP(Tabela1[[#This Row],[Participante]],Usuários!$A:$I,COLUMN($I$1),0)</f>
        <v>825ma!@</v>
      </c>
      <c r="I199" s="1" t="s">
        <v>16</v>
      </c>
      <c r="J199" s="1" t="s">
        <v>16</v>
      </c>
      <c r="K199" s="7" t="s">
        <v>218</v>
      </c>
      <c r="L199" t="s">
        <v>307</v>
      </c>
      <c r="M199" t="str">
        <f>IF(Tabela1[[#This Row],[Tipo_aval]]="auto","Ok",IF(ISERROR(VLOOKUP(Tabela1[[#This Row],[Participante]],Atualização!$B:$B,1,FALSE)),"Ok","Atualizar"))</f>
        <v>Ok</v>
      </c>
      <c r="N19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Lucas Ramos de Almeida Pasquantonio</v>
      </c>
      <c r="O199" t="str">
        <f>IF(IFERROR(VLOOKUP(Tabela1[[#This Row],[Novo_Avaliador]],Usuários!$A:$B,2,FALSE),"")="","",IFERROR(VLOOKUP(Tabela1[[#This Row],[Novo_Avaliador]],Usuários!$A:$B,2,FALSE),""))</f>
        <v>lucas.almeida@enind.com.br</v>
      </c>
      <c r="P199" t="str">
        <f>IF(Tabela1[[#This Row],[Novo_Avaliador]]=Tabela1[[#This Row],[Avaliador]],"Sim","Não")</f>
        <v>Sim</v>
      </c>
      <c r="Q199" t="b">
        <f>Tabela1[[#This Row],[email_repres]]=Tabela1[[#This Row],[e-mail novo avaliador]]</f>
        <v>1</v>
      </c>
    </row>
    <row r="200" spans="1:17" x14ac:dyDescent="0.25">
      <c r="A200" t="s">
        <v>349</v>
      </c>
      <c r="B200" t="s">
        <v>123</v>
      </c>
      <c r="C200" t="s">
        <v>218</v>
      </c>
      <c r="D200" t="s">
        <v>303</v>
      </c>
      <c r="E200" s="2" t="str">
        <f>VLOOKUP(Tabela1[[#This Row],[Avaliador]],Usuários!A:I,COLUMN($H$1),0)</f>
        <v>lucas.almeida</v>
      </c>
      <c r="F200" s="2" t="str">
        <f>VLOOKUP(Tabela1[[#This Row],[Avaliador]],Usuários!$A:$I,COLUMN($I$1),0)</f>
        <v>339la!@</v>
      </c>
      <c r="G200" s="2" t="str">
        <f>VLOOKUP(Tabela1[[#This Row],[Participante]],Usuários!$A:$I,COLUMN($H$1),0)</f>
        <v>ruan.ramos</v>
      </c>
      <c r="H200" s="2" t="str">
        <f>VLOOKUP(Tabela1[[#This Row],[Participante]],Usuários!$A:$I,COLUMN($I$1),0)</f>
        <v>718rr!@</v>
      </c>
      <c r="I200" s="1" t="s">
        <v>16</v>
      </c>
      <c r="J200" s="1" t="s">
        <v>16</v>
      </c>
      <c r="K200" t="s">
        <v>218</v>
      </c>
      <c r="L200" t="s">
        <v>307</v>
      </c>
      <c r="M200" t="str">
        <f>IF(Tabela1[[#This Row],[Tipo_aval]]="auto","Ok",IF(ISERROR(VLOOKUP(Tabela1[[#This Row],[Participante]],Atualização!$B:$B,1,FALSE)),"Ok","Atualizar"))</f>
        <v>Ok</v>
      </c>
      <c r="N20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Lucas Ramos de Almeida Pasquantonio</v>
      </c>
      <c r="O200" t="str">
        <f>IF(IFERROR(VLOOKUP(Tabela1[[#This Row],[Novo_Avaliador]],Usuários!$A:$B,2,FALSE),"")="","",IFERROR(VLOOKUP(Tabela1[[#This Row],[Novo_Avaliador]],Usuários!$A:$B,2,FALSE),""))</f>
        <v>lucas.almeida@enind.com.br</v>
      </c>
      <c r="P200" t="str">
        <f>IF(Tabela1[[#This Row],[Novo_Avaliador]]=Tabela1[[#This Row],[Avaliador]],"Sim","Não")</f>
        <v>Sim</v>
      </c>
      <c r="Q200" t="b">
        <f>Tabela1[[#This Row],[email_repres]]=Tabela1[[#This Row],[e-mail novo avaliador]]</f>
        <v>1</v>
      </c>
    </row>
    <row r="201" spans="1:17" x14ac:dyDescent="0.25">
      <c r="A201" s="2" t="s">
        <v>222</v>
      </c>
      <c r="B201" s="2" t="s">
        <v>222</v>
      </c>
      <c r="C201" s="2" t="s">
        <v>223</v>
      </c>
      <c r="D201" s="2" t="s">
        <v>295</v>
      </c>
      <c r="E201" s="2" t="str">
        <f>VLOOKUP(Tabela1[[#This Row],[Avaliador]],Usuários!A:I,COLUMN($H$1),0)</f>
        <v>luciano.bastos</v>
      </c>
      <c r="F201" s="2" t="str">
        <f>VLOOKUP(Tabela1[[#This Row],[Avaliador]],Usuários!$A:$I,COLUMN($I$1),0)</f>
        <v>428lb!@</v>
      </c>
      <c r="G201" s="2" t="str">
        <f>VLOOKUP(Tabela1[[#This Row],[Participante]],Usuários!$A:$I,COLUMN($H$1),0)</f>
        <v>luciano.bastos</v>
      </c>
      <c r="H201" s="2" t="str">
        <f>VLOOKUP(Tabela1[[#This Row],[Participante]],Usuários!$A:$I,COLUMN($I$1),0)</f>
        <v>428lb!@</v>
      </c>
      <c r="I201" s="1" t="s">
        <v>6</v>
      </c>
      <c r="J201" s="1" t="s">
        <v>16</v>
      </c>
      <c r="K201" t="s">
        <v>223</v>
      </c>
      <c r="L201" t="s">
        <v>309</v>
      </c>
      <c r="M201" t="str">
        <f>IF(Tabela1[[#This Row],[Tipo_aval]]="auto","Ok",IF(ISERROR(VLOOKUP(Tabela1[[#This Row],[Participante]],Atualização!$B:$B,1,FALSE)),"Ok","Atualizar"))</f>
        <v>Ok</v>
      </c>
      <c r="N20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Luciano Aparecido Bastos</v>
      </c>
      <c r="O201" t="str">
        <f>IF(IFERROR(VLOOKUP(Tabela1[[#This Row],[Novo_Avaliador]],Usuários!$A:$B,2,FALSE),"")="","",IFERROR(VLOOKUP(Tabela1[[#This Row],[Novo_Avaliador]],Usuários!$A:$B,2,FALSE),""))</f>
        <v>luciano.bastos@enind.com.br</v>
      </c>
      <c r="P201" t="str">
        <f>IF(Tabela1[[#This Row],[Novo_Avaliador]]=Tabela1[[#This Row],[Avaliador]],"Sim","Não")</f>
        <v>Sim</v>
      </c>
      <c r="Q201" t="b">
        <f>Tabela1[[#This Row],[email_repres]]=Tabela1[[#This Row],[e-mail novo avaliador]]</f>
        <v>1</v>
      </c>
    </row>
    <row r="202" spans="1:17" x14ac:dyDescent="0.25">
      <c r="A202" t="s">
        <v>225</v>
      </c>
      <c r="B202" t="s">
        <v>222</v>
      </c>
      <c r="C202" t="s">
        <v>223</v>
      </c>
      <c r="D202" t="s">
        <v>297</v>
      </c>
      <c r="E202" s="2" t="str">
        <f>VLOOKUP(Tabela1[[#This Row],[Avaliador]],Usuários!A:I,COLUMN($H$1),0)</f>
        <v>luciano.bastos</v>
      </c>
      <c r="F202" s="2" t="str">
        <f>VLOOKUP(Tabela1[[#This Row],[Avaliador]],Usuários!$A:$I,COLUMN($I$1),0)</f>
        <v>428lb!@</v>
      </c>
      <c r="G202" s="2" t="str">
        <f>VLOOKUP(Tabela1[[#This Row],[Participante]],Usuários!$A:$I,COLUMN($H$1),0)</f>
        <v>marcos.nunes</v>
      </c>
      <c r="H202" s="2" t="str">
        <f>VLOOKUP(Tabela1[[#This Row],[Participante]],Usuários!$A:$I,COLUMN($I$1),0)</f>
        <v>632mn!@</v>
      </c>
      <c r="I202" s="1" t="s">
        <v>16</v>
      </c>
      <c r="J202" s="1" t="s">
        <v>16</v>
      </c>
      <c r="K202" t="str">
        <f>Tabela1[[#This Row],[Email]]</f>
        <v>luciano.bastos@enind.com.br</v>
      </c>
      <c r="L202" t="s">
        <v>307</v>
      </c>
      <c r="M202" t="str">
        <f>IF(Tabela1[[#This Row],[Tipo_aval]]="auto","Ok",IF(ISERROR(VLOOKUP(Tabela1[[#This Row],[Participante]],Atualização!$B:$B,1,FALSE)),"Ok","Atualizar"))</f>
        <v>Atualizar</v>
      </c>
      <c r="N20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Luciano Aparecido Bastos</v>
      </c>
      <c r="O202" t="str">
        <f>IF(IFERROR(VLOOKUP(Tabela1[[#This Row],[Novo_Avaliador]],Usuários!$A:$B,2,FALSE),"")="","",IFERROR(VLOOKUP(Tabela1[[#This Row],[Novo_Avaliador]],Usuários!$A:$B,2,FALSE),""))</f>
        <v>luciano.bastos@enind.com.br</v>
      </c>
      <c r="P202" t="str">
        <f>IF(Tabela1[[#This Row],[Novo_Avaliador]]=Tabela1[[#This Row],[Avaliador]],"Sim","Não")</f>
        <v>Sim</v>
      </c>
      <c r="Q202" t="b">
        <f>Tabela1[[#This Row],[email_repres]]=Tabela1[[#This Row],[e-mail novo avaliador]]</f>
        <v>1</v>
      </c>
    </row>
    <row r="203" spans="1:17" x14ac:dyDescent="0.25">
      <c r="A203" t="s">
        <v>334</v>
      </c>
      <c r="B203" t="s">
        <v>334</v>
      </c>
      <c r="C203" t="s">
        <v>371</v>
      </c>
      <c r="D203" t="s">
        <v>295</v>
      </c>
      <c r="E203" s="2" t="str">
        <f>VLOOKUP(Tabela1[[#This Row],[Avaliador]],Usuários!A:I,COLUMN($H$1),0)</f>
        <v>luciene.rocha</v>
      </c>
      <c r="F203" s="2" t="str">
        <f>VLOOKUP(Tabela1[[#This Row],[Avaliador]],Usuários!$A:$I,COLUMN($I$1),0)</f>
        <v>894lr!@</v>
      </c>
      <c r="G203" s="2" t="str">
        <f>VLOOKUP(Tabela1[[#This Row],[Participante]],Usuários!$A:$I,COLUMN($H$1),0)</f>
        <v>luciene.rocha</v>
      </c>
      <c r="H203" s="2" t="str">
        <f>VLOOKUP(Tabela1[[#This Row],[Participante]],Usuários!$A:$I,COLUMN($I$1),0)</f>
        <v>894lr!@</v>
      </c>
      <c r="I203" s="1" t="s">
        <v>6</v>
      </c>
      <c r="J203" s="1" t="s">
        <v>16</v>
      </c>
      <c r="K203" t="s">
        <v>371</v>
      </c>
      <c r="L203" t="s">
        <v>307</v>
      </c>
      <c r="M203" t="str">
        <f>IF(Tabela1[[#This Row],[Tipo_aval]]="auto","Ok",IF(ISERROR(VLOOKUP(Tabela1[[#This Row],[Participante]],Atualização!$B:$B,1,FALSE)),"Ok","Atualizar"))</f>
        <v>Ok</v>
      </c>
      <c r="N20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Luciene Caetano da Rocha</v>
      </c>
      <c r="O203" t="str">
        <f>IF(IFERROR(VLOOKUP(Tabela1[[#This Row],[Novo_Avaliador]],Usuários!$A:$B,2,FALSE),"")="","",IFERROR(VLOOKUP(Tabela1[[#This Row],[Novo_Avaliador]],Usuários!$A:$B,2,FALSE),""))</f>
        <v>luciene.rocha@enind.com.br</v>
      </c>
      <c r="P203" t="str">
        <f>IF(Tabela1[[#This Row],[Novo_Avaliador]]=Tabela1[[#This Row],[Avaliador]],"Sim","Não")</f>
        <v>Sim</v>
      </c>
      <c r="Q203" t="b">
        <f>Tabela1[[#This Row],[email_repres]]=Tabela1[[#This Row],[e-mail novo avaliador]]</f>
        <v>1</v>
      </c>
    </row>
    <row r="204" spans="1:17" x14ac:dyDescent="0.25">
      <c r="A204" s="2" t="s">
        <v>227</v>
      </c>
      <c r="B204" s="2" t="s">
        <v>227</v>
      </c>
      <c r="C204" s="2" t="s">
        <v>228</v>
      </c>
      <c r="D204" s="2" t="s">
        <v>295</v>
      </c>
      <c r="E204" s="2" t="str">
        <f>VLOOKUP(Tabela1[[#This Row],[Avaliador]],Usuários!A:I,COLUMN($H$1),0)</f>
        <v>lucio.farias</v>
      </c>
      <c r="F204" s="2" t="str">
        <f>VLOOKUP(Tabela1[[#This Row],[Avaliador]],Usuários!$A:$I,COLUMN($I$1),0)</f>
        <v>462lf!@</v>
      </c>
      <c r="G204" s="2" t="str">
        <f>VLOOKUP(Tabela1[[#This Row],[Participante]],Usuários!$A:$I,COLUMN($H$1),0)</f>
        <v>lucio.farias</v>
      </c>
      <c r="H204" s="2" t="str">
        <f>VLOOKUP(Tabela1[[#This Row],[Participante]],Usuários!$A:$I,COLUMN($I$1),0)</f>
        <v>462lf!@</v>
      </c>
      <c r="I204" s="1" t="s">
        <v>6</v>
      </c>
      <c r="J204" s="1" t="s">
        <v>16</v>
      </c>
      <c r="K204" t="s">
        <v>228</v>
      </c>
      <c r="L204" t="s">
        <v>307</v>
      </c>
      <c r="M204" t="str">
        <f>IF(Tabela1[[#This Row],[Tipo_aval]]="auto","Ok",IF(ISERROR(VLOOKUP(Tabela1[[#This Row],[Participante]],Atualização!$B:$B,1,FALSE)),"Ok","Atualizar"))</f>
        <v>Ok</v>
      </c>
      <c r="N20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Lucio dos Santos Farias</v>
      </c>
      <c r="O204" t="str">
        <f>IF(IFERROR(VLOOKUP(Tabela1[[#This Row],[Novo_Avaliador]],Usuários!$A:$B,2,FALSE),"")="","",IFERROR(VLOOKUP(Tabela1[[#This Row],[Novo_Avaliador]],Usuários!$A:$B,2,FALSE),""))</f>
        <v>lucio.farias@enind.com.br</v>
      </c>
      <c r="P204" t="str">
        <f>IF(Tabela1[[#This Row],[Novo_Avaliador]]=Tabela1[[#This Row],[Avaliador]],"Sim","Não")</f>
        <v>Sim</v>
      </c>
      <c r="Q204" t="b">
        <f>Tabela1[[#This Row],[email_repres]]=Tabela1[[#This Row],[e-mail novo avaliador]]</f>
        <v>1</v>
      </c>
    </row>
    <row r="205" spans="1:17" x14ac:dyDescent="0.25">
      <c r="A205" t="s">
        <v>338</v>
      </c>
      <c r="B205" t="s">
        <v>338</v>
      </c>
      <c r="C205" t="s">
        <v>375</v>
      </c>
      <c r="D205" t="s">
        <v>295</v>
      </c>
      <c r="E205" s="2" t="str">
        <f>VLOOKUP(Tabela1[[#This Row],[Avaliador]],Usuários!A:I,COLUMN($H$1),0)</f>
        <v>marcelo.santos</v>
      </c>
      <c r="F205" s="2" t="str">
        <f>VLOOKUP(Tabela1[[#This Row],[Avaliador]],Usuários!$A:$I,COLUMN($I$1),0)</f>
        <v>020ms!@</v>
      </c>
      <c r="G205" s="2" t="str">
        <f>VLOOKUP(Tabela1[[#This Row],[Participante]],Usuários!$A:$I,COLUMN($H$1),0)</f>
        <v>marcelo.santos</v>
      </c>
      <c r="H205" s="2" t="str">
        <f>VLOOKUP(Tabela1[[#This Row],[Participante]],Usuários!$A:$I,COLUMN($I$1),0)</f>
        <v>020ms!@</v>
      </c>
      <c r="I205" s="1" t="s">
        <v>6</v>
      </c>
      <c r="J205" s="1" t="s">
        <v>16</v>
      </c>
      <c r="K205" t="s">
        <v>375</v>
      </c>
      <c r="L205" t="s">
        <v>307</v>
      </c>
      <c r="M205" t="str">
        <f>IF(Tabela1[[#This Row],[Tipo_aval]]="auto","Ok",IF(ISERROR(VLOOKUP(Tabela1[[#This Row],[Participante]],Atualização!$B:$B,1,FALSE)),"Ok","Atualizar"))</f>
        <v>Ok</v>
      </c>
      <c r="N20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da Silva Santos</v>
      </c>
      <c r="O205" t="str">
        <f>IF(IFERROR(VLOOKUP(Tabela1[[#This Row],[Novo_Avaliador]],Usuários!$A:$B,2,FALSE),"")="","",IFERROR(VLOOKUP(Tabela1[[#This Row],[Novo_Avaliador]],Usuários!$A:$B,2,FALSE),""))</f>
        <v>marcelo.santos@enind.com.br</v>
      </c>
      <c r="P205" t="str">
        <f>IF(Tabela1[[#This Row],[Novo_Avaliador]]=Tabela1[[#This Row],[Avaliador]],"Sim","Não")</f>
        <v>Sim</v>
      </c>
      <c r="Q205" t="b">
        <f>Tabela1[[#This Row],[email_repres]]=Tabela1[[#This Row],[e-mail novo avaliador]]</f>
        <v>1</v>
      </c>
    </row>
    <row r="206" spans="1:17" x14ac:dyDescent="0.25">
      <c r="A206" s="2" t="s">
        <v>230</v>
      </c>
      <c r="B206" s="2" t="s">
        <v>230</v>
      </c>
      <c r="C206" s="2" t="s">
        <v>231</v>
      </c>
      <c r="D206" s="2" t="s">
        <v>295</v>
      </c>
      <c r="E206" s="2" t="str">
        <f>VLOOKUP(Tabela1[[#This Row],[Avaliador]],Usuários!A:I,COLUMN($H$1),0)</f>
        <v>marcelo.silva</v>
      </c>
      <c r="F206" s="2" t="str">
        <f>VLOOKUP(Tabela1[[#This Row],[Avaliador]],Usuários!$A:$I,COLUMN($I$1),0)</f>
        <v>584ms!@</v>
      </c>
      <c r="G206" s="2" t="str">
        <f>VLOOKUP(Tabela1[[#This Row],[Participante]],Usuários!$A:$I,COLUMN($H$1),0)</f>
        <v>marcelo.silva</v>
      </c>
      <c r="H206" s="2" t="str">
        <f>VLOOKUP(Tabela1[[#This Row],[Participante]],Usuários!$A:$I,COLUMN($I$1),0)</f>
        <v>584ms!@</v>
      </c>
      <c r="I206" s="1" t="s">
        <v>6</v>
      </c>
      <c r="J206" s="1" t="s">
        <v>16</v>
      </c>
      <c r="K206" t="s">
        <v>231</v>
      </c>
      <c r="L206" t="s">
        <v>309</v>
      </c>
      <c r="M206" t="str">
        <f>IF(Tabela1[[#This Row],[Tipo_aval]]="auto","Ok",IF(ISERROR(VLOOKUP(Tabela1[[#This Row],[Participante]],Atualização!$B:$B,1,FALSE)),"Ok","Atualizar"))</f>
        <v>Ok</v>
      </c>
      <c r="N20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Apolinario Fernandes da Silva</v>
      </c>
      <c r="O206" t="str">
        <f>IF(IFERROR(VLOOKUP(Tabela1[[#This Row],[Novo_Avaliador]],Usuários!$A:$B,2,FALSE),"")="","",IFERROR(VLOOKUP(Tabela1[[#This Row],[Novo_Avaliador]],Usuários!$A:$B,2,FALSE),""))</f>
        <v>marcelo.silva@enind.com.br</v>
      </c>
      <c r="P206" t="str">
        <f>IF(Tabela1[[#This Row],[Novo_Avaliador]]=Tabela1[[#This Row],[Avaliador]],"Sim","Não")</f>
        <v>Sim</v>
      </c>
      <c r="Q206" t="b">
        <f>Tabela1[[#This Row],[email_repres]]=Tabela1[[#This Row],[e-mail novo avaliador]]</f>
        <v>1</v>
      </c>
    </row>
    <row r="207" spans="1:17" x14ac:dyDescent="0.25">
      <c r="A207" s="2" t="s">
        <v>120</v>
      </c>
      <c r="B207" s="2" t="s">
        <v>230</v>
      </c>
      <c r="C207" s="2" t="s">
        <v>231</v>
      </c>
      <c r="D207" s="2" t="s">
        <v>297</v>
      </c>
      <c r="E207" s="2" t="str">
        <f>VLOOKUP(Tabela1[[#This Row],[Avaliador]],Usuários!A:I,COLUMN($H$1),0)</f>
        <v>marcelo.silva</v>
      </c>
      <c r="F207" s="2" t="str">
        <f>VLOOKUP(Tabela1[[#This Row],[Avaliador]],Usuários!$A:$I,COLUMN($I$1),0)</f>
        <v>584ms!@</v>
      </c>
      <c r="G207" s="2" t="str">
        <f>VLOOKUP(Tabela1[[#This Row],[Participante]],Usuários!$A:$I,COLUMN($H$1),0)</f>
        <v>everaldo.pontes</v>
      </c>
      <c r="H207" s="2" t="str">
        <f>VLOOKUP(Tabela1[[#This Row],[Participante]],Usuários!$A:$I,COLUMN($I$1),0)</f>
        <v>974ep!@</v>
      </c>
      <c r="I207" s="1" t="s">
        <v>16</v>
      </c>
      <c r="J207" s="1" t="s">
        <v>16</v>
      </c>
      <c r="K207" t="s">
        <v>231</v>
      </c>
      <c r="L207" t="s">
        <v>307</v>
      </c>
      <c r="M207" t="str">
        <f>IF(Tabela1[[#This Row],[Tipo_aval]]="auto","Ok",IF(ISERROR(VLOOKUP(Tabela1[[#This Row],[Participante]],Atualização!$B:$B,1,FALSE)),"Ok","Atualizar"))</f>
        <v>Ok</v>
      </c>
      <c r="N20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Apolinario Fernandes da Silva</v>
      </c>
      <c r="O207" t="str">
        <f>IF(IFERROR(VLOOKUP(Tabela1[[#This Row],[Novo_Avaliador]],Usuários!$A:$B,2,FALSE),"")="","",IFERROR(VLOOKUP(Tabela1[[#This Row],[Novo_Avaliador]],Usuários!$A:$B,2,FALSE),""))</f>
        <v>marcelo.silva@enind.com.br</v>
      </c>
      <c r="P207" t="str">
        <f>IF(Tabela1[[#This Row],[Novo_Avaliador]]=Tabela1[[#This Row],[Avaliador]],"Sim","Não")</f>
        <v>Sim</v>
      </c>
      <c r="Q207" t="b">
        <f>Tabela1[[#This Row],[email_repres]]=Tabela1[[#This Row],[e-mail novo avaliador]]</f>
        <v>1</v>
      </c>
    </row>
    <row r="208" spans="1:17" x14ac:dyDescent="0.25">
      <c r="A208" t="s">
        <v>220</v>
      </c>
      <c r="B208" t="s">
        <v>230</v>
      </c>
      <c r="C208" t="s">
        <v>231</v>
      </c>
      <c r="D208" t="s">
        <v>303</v>
      </c>
      <c r="E208" s="2" t="str">
        <f>VLOOKUP(Tabela1[[#This Row],[Avaliador]],Usuários!A:I,COLUMN($H$1),0)</f>
        <v>marcelo.silva</v>
      </c>
      <c r="F208" s="2" t="str">
        <f>VLOOKUP(Tabela1[[#This Row],[Avaliador]],Usuários!$A:$I,COLUMN($I$1),0)</f>
        <v>584ms!@</v>
      </c>
      <c r="G208" s="2" t="str">
        <f>VLOOKUP(Tabela1[[#This Row],[Participante]],Usuários!$A:$I,COLUMN($H$1),0)</f>
        <v>talita.peixoto</v>
      </c>
      <c r="H208" s="2" t="str">
        <f>VLOOKUP(Tabela1[[#This Row],[Participante]],Usuários!$A:$I,COLUMN($I$1),0)</f>
        <v>924tp!@</v>
      </c>
      <c r="I208" s="1" t="s">
        <v>16</v>
      </c>
      <c r="J208" s="1" t="s">
        <v>16</v>
      </c>
      <c r="K208" t="s">
        <v>231</v>
      </c>
      <c r="L208" t="s">
        <v>307</v>
      </c>
      <c r="M208" t="str">
        <f>IF(Tabela1[[#This Row],[Tipo_aval]]="auto","Ok",IF(ISERROR(VLOOKUP(Tabela1[[#This Row],[Participante]],Atualização!$B:$B,1,FALSE)),"Ok","Atualizar"))</f>
        <v>Ok</v>
      </c>
      <c r="N20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Apolinario Fernandes da Silva</v>
      </c>
      <c r="O208" t="str">
        <f>IF(IFERROR(VLOOKUP(Tabela1[[#This Row],[Novo_Avaliador]],Usuários!$A:$B,2,FALSE),"")="","",IFERROR(VLOOKUP(Tabela1[[#This Row],[Novo_Avaliador]],Usuários!$A:$B,2,FALSE),""))</f>
        <v>marcelo.silva@enind.com.br</v>
      </c>
      <c r="P208" t="str">
        <f>IF(Tabela1[[#This Row],[Novo_Avaliador]]=Tabela1[[#This Row],[Avaliador]],"Sim","Não")</f>
        <v>Sim</v>
      </c>
      <c r="Q208" t="b">
        <f>Tabela1[[#This Row],[email_repres]]=Tabela1[[#This Row],[e-mail novo avaliador]]</f>
        <v>1</v>
      </c>
    </row>
    <row r="209" spans="1:17" x14ac:dyDescent="0.25">
      <c r="A209" t="s">
        <v>343</v>
      </c>
      <c r="B209" t="s">
        <v>230</v>
      </c>
      <c r="C209" t="s">
        <v>231</v>
      </c>
      <c r="D209" t="s">
        <v>297</v>
      </c>
      <c r="E209" s="2" t="str">
        <f>VLOOKUP(Tabela1[[#This Row],[Avaliador]],Usuários!A:I,COLUMN($H$1),0)</f>
        <v>marcelo.silva</v>
      </c>
      <c r="F209" s="2" t="str">
        <f>VLOOKUP(Tabela1[[#This Row],[Avaliador]],Usuários!$A:$I,COLUMN($I$1),0)</f>
        <v>584ms!@</v>
      </c>
      <c r="G209" s="2" t="str">
        <f>VLOOKUP(Tabela1[[#This Row],[Participante]],Usuários!$A:$I,COLUMN($H$1),0)</f>
        <v>matheus.silva</v>
      </c>
      <c r="H209" s="2" t="str">
        <f>VLOOKUP(Tabela1[[#This Row],[Participante]],Usuários!$A:$I,COLUMN($I$1),0)</f>
        <v>526ms!@</v>
      </c>
      <c r="I209" s="1" t="s">
        <v>16</v>
      </c>
      <c r="J209" s="1" t="s">
        <v>16</v>
      </c>
      <c r="K209" t="s">
        <v>231</v>
      </c>
      <c r="L209" t="s">
        <v>307</v>
      </c>
      <c r="M209" t="str">
        <f>IF(Tabela1[[#This Row],[Tipo_aval]]="auto","Ok",IF(ISERROR(VLOOKUP(Tabela1[[#This Row],[Participante]],Atualização!$B:$B,1,FALSE)),"Ok","Atualizar"))</f>
        <v>Ok</v>
      </c>
      <c r="N20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Apolinario Fernandes da Silva</v>
      </c>
      <c r="O209" t="str">
        <f>IF(IFERROR(VLOOKUP(Tabela1[[#This Row],[Novo_Avaliador]],Usuários!$A:$B,2,FALSE),"")="","",IFERROR(VLOOKUP(Tabela1[[#This Row],[Novo_Avaliador]],Usuários!$A:$B,2,FALSE),""))</f>
        <v>marcelo.silva@enind.com.br</v>
      </c>
      <c r="P209" t="str">
        <f>IF(Tabela1[[#This Row],[Novo_Avaliador]]=Tabela1[[#This Row],[Avaliador]],"Sim","Não")</f>
        <v>Sim</v>
      </c>
      <c r="Q209" t="b">
        <f>Tabela1[[#This Row],[email_repres]]=Tabela1[[#This Row],[e-mail novo avaliador]]</f>
        <v>1</v>
      </c>
    </row>
    <row r="210" spans="1:17" x14ac:dyDescent="0.25">
      <c r="A210" t="s">
        <v>344</v>
      </c>
      <c r="B210" t="s">
        <v>230</v>
      </c>
      <c r="C210" t="s">
        <v>231</v>
      </c>
      <c r="D210" t="s">
        <v>297</v>
      </c>
      <c r="E210" s="2" t="str">
        <f>VLOOKUP(Tabela1[[#This Row],[Avaliador]],Usuários!A:I,COLUMN($H$1),0)</f>
        <v>marcelo.silva</v>
      </c>
      <c r="F210" s="2" t="str">
        <f>VLOOKUP(Tabela1[[#This Row],[Avaliador]],Usuários!$A:$I,COLUMN($I$1),0)</f>
        <v>584ms!@</v>
      </c>
      <c r="G210" s="2" t="str">
        <f>VLOOKUP(Tabela1[[#This Row],[Participante]],Usuários!$A:$I,COLUMN($H$1),0)</f>
        <v>milena.alkmin</v>
      </c>
      <c r="H210" s="2" t="str">
        <f>VLOOKUP(Tabela1[[#This Row],[Participante]],Usuários!$A:$I,COLUMN($I$1),0)</f>
        <v>825ma!@</v>
      </c>
      <c r="I210" s="1" t="s">
        <v>16</v>
      </c>
      <c r="J210" s="1" t="s">
        <v>16</v>
      </c>
      <c r="K210" t="s">
        <v>231</v>
      </c>
      <c r="L210" t="s">
        <v>307</v>
      </c>
      <c r="M210" t="str">
        <f>IF(Tabela1[[#This Row],[Tipo_aval]]="auto","Ok",IF(ISERROR(VLOOKUP(Tabela1[[#This Row],[Participante]],Atualização!$B:$B,1,FALSE)),"Ok","Atualizar"))</f>
        <v>Ok</v>
      </c>
      <c r="N21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Apolinario Fernandes da Silva</v>
      </c>
      <c r="O210" t="str">
        <f>IF(IFERROR(VLOOKUP(Tabela1[[#This Row],[Novo_Avaliador]],Usuários!$A:$B,2,FALSE),"")="","",IFERROR(VLOOKUP(Tabela1[[#This Row],[Novo_Avaliador]],Usuários!$A:$B,2,FALSE),""))</f>
        <v>marcelo.silva@enind.com.br</v>
      </c>
      <c r="P210" t="str">
        <f>IF(Tabela1[[#This Row],[Novo_Avaliador]]=Tabela1[[#This Row],[Avaliador]],"Sim","Não")</f>
        <v>Sim</v>
      </c>
      <c r="Q210" t="b">
        <f>Tabela1[[#This Row],[email_repres]]=Tabela1[[#This Row],[e-mail novo avaliador]]</f>
        <v>1</v>
      </c>
    </row>
    <row r="211" spans="1:17" x14ac:dyDescent="0.25">
      <c r="A211" t="s">
        <v>349</v>
      </c>
      <c r="B211" t="s">
        <v>230</v>
      </c>
      <c r="C211" t="s">
        <v>231</v>
      </c>
      <c r="D211" t="s">
        <v>297</v>
      </c>
      <c r="E211" s="2" t="str">
        <f>VLOOKUP(Tabela1[[#This Row],[Avaliador]],Usuários!A:I,COLUMN($H$1),0)</f>
        <v>marcelo.silva</v>
      </c>
      <c r="F211" s="2" t="str">
        <f>VLOOKUP(Tabela1[[#This Row],[Avaliador]],Usuários!$A:$I,COLUMN($I$1),0)</f>
        <v>584ms!@</v>
      </c>
      <c r="G211" s="2" t="str">
        <f>VLOOKUP(Tabela1[[#This Row],[Participante]],Usuários!$A:$I,COLUMN($H$1),0)</f>
        <v>ruan.ramos</v>
      </c>
      <c r="H211" s="2" t="str">
        <f>VLOOKUP(Tabela1[[#This Row],[Participante]],Usuários!$A:$I,COLUMN($I$1),0)</f>
        <v>718rr!@</v>
      </c>
      <c r="I211" s="1" t="s">
        <v>16</v>
      </c>
      <c r="J211" s="1" t="s">
        <v>16</v>
      </c>
      <c r="K211" t="s">
        <v>231</v>
      </c>
      <c r="L211" t="s">
        <v>307</v>
      </c>
      <c r="M211" t="str">
        <f>IF(Tabela1[[#This Row],[Tipo_aval]]="auto","Ok",IF(ISERROR(VLOOKUP(Tabela1[[#This Row],[Participante]],Atualização!$B:$B,1,FALSE)),"Ok","Atualizar"))</f>
        <v>Ok</v>
      </c>
      <c r="N21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Marcelo Apolinario Fernandes da Silva</v>
      </c>
      <c r="O211" t="str">
        <f>IF(IFERROR(VLOOKUP(Tabela1[[#This Row],[Novo_Avaliador]],Usuários!$A:$B,2,FALSE),"")="","",IFERROR(VLOOKUP(Tabela1[[#This Row],[Novo_Avaliador]],Usuários!$A:$B,2,FALSE),""))</f>
        <v>marcelo.silva@enind.com.br</v>
      </c>
      <c r="P211" t="str">
        <f>IF(Tabela1[[#This Row],[Novo_Avaliador]]=Tabela1[[#This Row],[Avaliador]],"Sim","Não")</f>
        <v>Sim</v>
      </c>
      <c r="Q211" t="b">
        <f>Tabela1[[#This Row],[email_repres]]=Tabela1[[#This Row],[e-mail novo avaliador]]</f>
        <v>1</v>
      </c>
    </row>
    <row r="212" spans="1:17" x14ac:dyDescent="0.25">
      <c r="A212" t="s">
        <v>348</v>
      </c>
      <c r="B212" t="s">
        <v>348</v>
      </c>
      <c r="C212" t="s">
        <v>385</v>
      </c>
      <c r="D212" t="s">
        <v>295</v>
      </c>
      <c r="E212" s="2" t="str">
        <f>VLOOKUP(Tabela1[[#This Row],[Avaliador]],Usuários!A:I,COLUMN($H$1),0)</f>
        <v>marcia.santana</v>
      </c>
      <c r="F212" s="2" t="str">
        <f>VLOOKUP(Tabela1[[#This Row],[Avaliador]],Usuários!$A:$I,COLUMN($I$1),0)</f>
        <v>342ms!@</v>
      </c>
      <c r="G212" s="2" t="str">
        <f>VLOOKUP(Tabela1[[#This Row],[Participante]],Usuários!$A:$I,COLUMN($H$1),0)</f>
        <v>marcia.santana</v>
      </c>
      <c r="H212" s="2" t="str">
        <f>VLOOKUP(Tabela1[[#This Row],[Participante]],Usuários!$A:$I,COLUMN($I$1),0)</f>
        <v>342ms!@</v>
      </c>
      <c r="I212" s="1" t="s">
        <v>6</v>
      </c>
      <c r="J212" s="1" t="s">
        <v>16</v>
      </c>
      <c r="K212" t="s">
        <v>385</v>
      </c>
      <c r="L212" t="s">
        <v>307</v>
      </c>
      <c r="M212" t="str">
        <f>IF(Tabela1[[#This Row],[Tipo_aval]]="auto","Ok",IF(ISERROR(VLOOKUP(Tabela1[[#This Row],[Participante]],Atualização!$B:$B,1,FALSE)),"Ok","Atualizar"))</f>
        <v>Ok</v>
      </c>
      <c r="N21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Marcia Cristina Silva Santana</v>
      </c>
      <c r="O212" t="str">
        <f>IF(IFERROR(VLOOKUP(Tabela1[[#This Row],[Novo_Avaliador]],Usuários!$A:$B,2,FALSE),"")="","",IFERROR(VLOOKUP(Tabela1[[#This Row],[Novo_Avaliador]],Usuários!$A:$B,2,FALSE),""))</f>
        <v>marcia.santana@enind.com.br</v>
      </c>
      <c r="P212" t="str">
        <f>IF(Tabela1[[#This Row],[Novo_Avaliador]]=Tabela1[[#This Row],[Avaliador]],"Sim","Não")</f>
        <v>Sim</v>
      </c>
      <c r="Q212" t="b">
        <f>Tabela1[[#This Row],[email_repres]]=Tabela1[[#This Row],[e-mail novo avaliador]]</f>
        <v>1</v>
      </c>
    </row>
    <row r="213" spans="1:17" x14ac:dyDescent="0.25">
      <c r="A213" t="s">
        <v>340</v>
      </c>
      <c r="B213" t="s">
        <v>340</v>
      </c>
      <c r="C213" t="s">
        <v>377</v>
      </c>
      <c r="D213" t="s">
        <v>295</v>
      </c>
      <c r="E213" s="2" t="str">
        <f>VLOOKUP(Tabela1[[#This Row],[Avaliador]],Usuários!A:I,COLUMN($H$1),0)</f>
        <v>marcos.junior</v>
      </c>
      <c r="F213" s="2" t="str">
        <f>VLOOKUP(Tabela1[[#This Row],[Avaliador]],Usuários!$A:$I,COLUMN($I$1),0)</f>
        <v>403mj!@</v>
      </c>
      <c r="G213" s="2" t="str">
        <f>VLOOKUP(Tabela1[[#This Row],[Participante]],Usuários!$A:$I,COLUMN($H$1),0)</f>
        <v>marcos.junior</v>
      </c>
      <c r="H213" s="2" t="str">
        <f>VLOOKUP(Tabela1[[#This Row],[Participante]],Usuários!$A:$I,COLUMN($I$1),0)</f>
        <v>403mj!@</v>
      </c>
      <c r="I213" s="1" t="s">
        <v>6</v>
      </c>
      <c r="J213" s="1" t="s">
        <v>16</v>
      </c>
      <c r="K213" t="s">
        <v>377</v>
      </c>
      <c r="L213" t="s">
        <v>307</v>
      </c>
      <c r="M213" t="str">
        <f>IF(Tabela1[[#This Row],[Tipo_aval]]="auto","Ok",IF(ISERROR(VLOOKUP(Tabela1[[#This Row],[Participante]],Atualização!$B:$B,1,FALSE)),"Ok","Atualizar"))</f>
        <v>Ok</v>
      </c>
      <c r="N21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Alberto Ferreira Junior</v>
      </c>
      <c r="O213" t="str">
        <f>IF(IFERROR(VLOOKUP(Tabela1[[#This Row],[Novo_Avaliador]],Usuários!$A:$B,2,FALSE),"")="","",IFERROR(VLOOKUP(Tabela1[[#This Row],[Novo_Avaliador]],Usuários!$A:$B,2,FALSE),""))</f>
        <v>marcos.junior@enind.com.br</v>
      </c>
      <c r="P213" t="str">
        <f>IF(Tabela1[[#This Row],[Novo_Avaliador]]=Tabela1[[#This Row],[Avaliador]],"Sim","Não")</f>
        <v>Sim</v>
      </c>
      <c r="Q213" t="b">
        <f>Tabela1[[#This Row],[email_repres]]=Tabela1[[#This Row],[e-mail novo avaliador]]</f>
        <v>1</v>
      </c>
    </row>
    <row r="214" spans="1:17" x14ac:dyDescent="0.25">
      <c r="A214" s="2" t="s">
        <v>225</v>
      </c>
      <c r="B214" s="2" t="s">
        <v>225</v>
      </c>
      <c r="C214" s="2" t="s">
        <v>233</v>
      </c>
      <c r="D214" s="2" t="s">
        <v>295</v>
      </c>
      <c r="E214" s="2" t="str">
        <f>VLOOKUP(Tabela1[[#This Row],[Avaliador]],Usuários!A:I,COLUMN($H$1),0)</f>
        <v>marcos.nunes</v>
      </c>
      <c r="F214" s="2" t="str">
        <f>VLOOKUP(Tabela1[[#This Row],[Avaliador]],Usuários!$A:$I,COLUMN($I$1),0)</f>
        <v>632mn!@</v>
      </c>
      <c r="G214" s="2" t="str">
        <f>VLOOKUP(Tabela1[[#This Row],[Participante]],Usuários!$A:$I,COLUMN($H$1),0)</f>
        <v>marcos.nunes</v>
      </c>
      <c r="H214" s="2" t="str">
        <f>VLOOKUP(Tabela1[[#This Row],[Participante]],Usuários!$A:$I,COLUMN($I$1),0)</f>
        <v>632mn!@</v>
      </c>
      <c r="I214" s="1" t="s">
        <v>6</v>
      </c>
      <c r="J214" s="1" t="s">
        <v>16</v>
      </c>
      <c r="K214" t="s">
        <v>233</v>
      </c>
      <c r="L214" t="s">
        <v>307</v>
      </c>
      <c r="M214" t="str">
        <f>IF(Tabela1[[#This Row],[Tipo_aval]]="auto","Ok",IF(ISERROR(VLOOKUP(Tabela1[[#This Row],[Participante]],Atualização!$B:$B,1,FALSE)),"Ok","Atualizar"))</f>
        <v>Ok</v>
      </c>
      <c r="N21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Roberto Nunes de Sousa</v>
      </c>
      <c r="O214" t="str">
        <f>IF(IFERROR(VLOOKUP(Tabela1[[#This Row],[Novo_Avaliador]],Usuários!$A:$B,2,FALSE),"")="","",IFERROR(VLOOKUP(Tabela1[[#This Row],[Novo_Avaliador]],Usuários!$A:$B,2,FALSE),""))</f>
        <v>marcos.nunes@enind.com.br</v>
      </c>
      <c r="P214" t="str">
        <f>IF(Tabela1[[#This Row],[Novo_Avaliador]]=Tabela1[[#This Row],[Avaliador]],"Sim","Não")</f>
        <v>Sim</v>
      </c>
      <c r="Q214" t="b">
        <f>Tabela1[[#This Row],[email_repres]]=Tabela1[[#This Row],[e-mail novo avaliador]]</f>
        <v>1</v>
      </c>
    </row>
    <row r="215" spans="1:17" x14ac:dyDescent="0.25">
      <c r="A215" t="s">
        <v>341</v>
      </c>
      <c r="B215" t="s">
        <v>341</v>
      </c>
      <c r="C215" t="s">
        <v>435</v>
      </c>
      <c r="D215" t="s">
        <v>295</v>
      </c>
      <c r="E215" s="2" t="str">
        <f>VLOOKUP(Tabela1[[#This Row],[Avaliador]],Usuários!A:I,COLUMN($H$1),0)</f>
        <v>marcos.queiroz</v>
      </c>
      <c r="F215" s="2" t="str">
        <f>VLOOKUP(Tabela1[[#This Row],[Avaliador]],Usuários!$A:$I,COLUMN($I$1),0)</f>
        <v>684mq!@</v>
      </c>
      <c r="G215" s="2" t="str">
        <f>VLOOKUP(Tabela1[[#This Row],[Participante]],Usuários!$A:$I,COLUMN($H$1),0)</f>
        <v>marcos.queiroz</v>
      </c>
      <c r="H215" s="2" t="str">
        <f>VLOOKUP(Tabela1[[#This Row],[Participante]],Usuários!$A:$I,COLUMN($I$1),0)</f>
        <v>684mq!@</v>
      </c>
      <c r="I215" s="1" t="s">
        <v>6</v>
      </c>
      <c r="J215" s="1" t="s">
        <v>16</v>
      </c>
      <c r="K215" t="s">
        <v>435</v>
      </c>
      <c r="L215" t="s">
        <v>307</v>
      </c>
      <c r="M215" t="str">
        <f>IF(Tabela1[[#This Row],[Tipo_aval]]="auto","Ok",IF(ISERROR(VLOOKUP(Tabela1[[#This Row],[Participante]],Atualização!$B:$B,1,FALSE)),"Ok","Atualizar"))</f>
        <v>Ok</v>
      </c>
      <c r="N21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Souza Queiroz</v>
      </c>
      <c r="O215" t="str">
        <f>IF(IFERROR(VLOOKUP(Tabela1[[#This Row],[Novo_Avaliador]],Usuários!$A:$B,2,FALSE),"")="","",IFERROR(VLOOKUP(Tabela1[[#This Row],[Novo_Avaliador]],Usuários!$A:$B,2,FALSE),""))</f>
        <v>marcos.queiroz@enindservicos.com.br</v>
      </c>
      <c r="P215" t="str">
        <f>IF(Tabela1[[#This Row],[Novo_Avaliador]]=Tabela1[[#This Row],[Avaliador]],"Sim","Não")</f>
        <v>Sim</v>
      </c>
      <c r="Q215" t="b">
        <f>Tabela1[[#This Row],[email_repres]]=Tabela1[[#This Row],[e-mail novo avaliador]]</f>
        <v>1</v>
      </c>
    </row>
    <row r="216" spans="1:17" x14ac:dyDescent="0.25">
      <c r="A216" s="2" t="s">
        <v>234</v>
      </c>
      <c r="B216" s="2" t="s">
        <v>234</v>
      </c>
      <c r="C216" s="2" t="s">
        <v>235</v>
      </c>
      <c r="D216" s="2" t="s">
        <v>295</v>
      </c>
      <c r="E216" s="2" t="str">
        <f>VLOOKUP(Tabela1[[#This Row],[Avaliador]],Usuários!A:I,COLUMN($H$1),0)</f>
        <v>marcos.silva</v>
      </c>
      <c r="F216" s="2" t="str">
        <f>VLOOKUP(Tabela1[[#This Row],[Avaliador]],Usuários!$A:$I,COLUMN($I$1),0)</f>
        <v>647ms!@</v>
      </c>
      <c r="G216" s="2" t="str">
        <f>VLOOKUP(Tabela1[[#This Row],[Participante]],Usuários!$A:$I,COLUMN($H$1),0)</f>
        <v>marcos.silva</v>
      </c>
      <c r="H216" s="2" t="str">
        <f>VLOOKUP(Tabela1[[#This Row],[Participante]],Usuários!$A:$I,COLUMN($I$1),0)</f>
        <v>647ms!@</v>
      </c>
      <c r="I216" s="1" t="s">
        <v>6</v>
      </c>
      <c r="J216" s="1" t="s">
        <v>16</v>
      </c>
      <c r="K216" t="s">
        <v>235</v>
      </c>
      <c r="L216" t="s">
        <v>307</v>
      </c>
      <c r="M216" t="str">
        <f>IF(Tabela1[[#This Row],[Tipo_aval]]="auto","Ok",IF(ISERROR(VLOOKUP(Tabela1[[#This Row],[Participante]],Atualização!$B:$B,1,FALSE)),"Ok","Atualizar"))</f>
        <v>Ok</v>
      </c>
      <c r="N21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Marcos Vinicius Mendes da Silva</v>
      </c>
      <c r="O216" t="str">
        <f>IF(IFERROR(VLOOKUP(Tabela1[[#This Row],[Novo_Avaliador]],Usuários!$A:$B,2,FALSE),"")="","",IFERROR(VLOOKUP(Tabela1[[#This Row],[Novo_Avaliador]],Usuários!$A:$B,2,FALSE),""))</f>
        <v>marcos.silva@enind.com.br</v>
      </c>
      <c r="P216" t="str">
        <f>IF(Tabela1[[#This Row],[Novo_Avaliador]]=Tabela1[[#This Row],[Avaliador]],"Sim","Não")</f>
        <v>Sim</v>
      </c>
      <c r="Q216" t="b">
        <f>Tabela1[[#This Row],[email_repres]]=Tabela1[[#This Row],[e-mail novo avaliador]]</f>
        <v>1</v>
      </c>
    </row>
    <row r="217" spans="1:17" x14ac:dyDescent="0.25">
      <c r="A217" s="2" t="s">
        <v>237</v>
      </c>
      <c r="B217" s="2" t="s">
        <v>237</v>
      </c>
      <c r="C217" s="2" t="s">
        <v>238</v>
      </c>
      <c r="D217" s="2" t="s">
        <v>295</v>
      </c>
      <c r="E217" s="2" t="str">
        <f>VLOOKUP(Tabela1[[#This Row],[Avaliador]],Usuários!A:I,COLUMN($H$1),0)</f>
        <v>maria.sousa</v>
      </c>
      <c r="F217" s="2" t="str">
        <f>VLOOKUP(Tabela1[[#This Row],[Avaliador]],Usuários!$A:$I,COLUMN($I$1),0)</f>
        <v>955ms!@</v>
      </c>
      <c r="G217" s="2" t="str">
        <f>VLOOKUP(Tabela1[[#This Row],[Participante]],Usuários!$A:$I,COLUMN($H$1),0)</f>
        <v>maria.sousa</v>
      </c>
      <c r="H217" s="2" t="str">
        <f>VLOOKUP(Tabela1[[#This Row],[Participante]],Usuários!$A:$I,COLUMN($I$1),0)</f>
        <v>955ms!@</v>
      </c>
      <c r="I217" s="1" t="s">
        <v>6</v>
      </c>
      <c r="J217" s="1" t="s">
        <v>16</v>
      </c>
      <c r="K217" t="s">
        <v>238</v>
      </c>
      <c r="L217" t="s">
        <v>307</v>
      </c>
      <c r="M217" t="str">
        <f>IF(Tabela1[[#This Row],[Tipo_aval]]="auto","Ok",IF(ISERROR(VLOOKUP(Tabela1[[#This Row],[Participante]],Atualização!$B:$B,1,FALSE)),"Ok","Atualizar"))</f>
        <v>Ok</v>
      </c>
      <c r="N21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Raimunda Ferreira de Sousa</v>
      </c>
      <c r="O217" t="str">
        <f>IF(IFERROR(VLOOKUP(Tabela1[[#This Row],[Novo_Avaliador]],Usuários!$A:$B,2,FALSE),"")="","",IFERROR(VLOOKUP(Tabela1[[#This Row],[Novo_Avaliador]],Usuários!$A:$B,2,FALSE),""))</f>
        <v>maria.sousa@enind.com.br</v>
      </c>
      <c r="P217" t="str">
        <f>IF(Tabela1[[#This Row],[Novo_Avaliador]]=Tabela1[[#This Row],[Avaliador]],"Sim","Não")</f>
        <v>Sim</v>
      </c>
      <c r="Q217" t="b">
        <f>Tabela1[[#This Row],[email_repres]]=Tabela1[[#This Row],[e-mail novo avaliador]]</f>
        <v>1</v>
      </c>
    </row>
    <row r="218" spans="1:17" x14ac:dyDescent="0.25">
      <c r="A218" t="s">
        <v>342</v>
      </c>
      <c r="B218" t="s">
        <v>342</v>
      </c>
      <c r="C218" t="s">
        <v>379</v>
      </c>
      <c r="D218" t="s">
        <v>295</v>
      </c>
      <c r="E218" s="2" t="str">
        <f>VLOOKUP(Tabela1[[#This Row],[Avaliador]],Usuários!A:I,COLUMN($H$1),0)</f>
        <v>mariana.moreira</v>
      </c>
      <c r="F218" s="2" t="str">
        <f>VLOOKUP(Tabela1[[#This Row],[Avaliador]],Usuários!$A:$I,COLUMN($I$1),0)</f>
        <v>808mm!@</v>
      </c>
      <c r="G218" s="2" t="str">
        <f>VLOOKUP(Tabela1[[#This Row],[Participante]],Usuários!$A:$I,COLUMN($H$1),0)</f>
        <v>mariana.moreira</v>
      </c>
      <c r="H218" s="2" t="str">
        <f>VLOOKUP(Tabela1[[#This Row],[Participante]],Usuários!$A:$I,COLUMN($I$1),0)</f>
        <v>808mm!@</v>
      </c>
      <c r="I218" s="1" t="s">
        <v>6</v>
      </c>
      <c r="J218" s="1" t="s">
        <v>16</v>
      </c>
      <c r="K218" t="s">
        <v>379</v>
      </c>
      <c r="L218" t="s">
        <v>307</v>
      </c>
      <c r="M218" t="str">
        <f>IF(Tabela1[[#This Row],[Tipo_aval]]="auto","Ok",IF(ISERROR(VLOOKUP(Tabela1[[#This Row],[Participante]],Atualização!$B:$B,1,FALSE)),"Ok","Atualizar"))</f>
        <v>Ok</v>
      </c>
      <c r="N21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Mariana Gouvea da Silva Moreira</v>
      </c>
      <c r="O218" t="str">
        <f>IF(IFERROR(VLOOKUP(Tabela1[[#This Row],[Novo_Avaliador]],Usuários!$A:$B,2,FALSE),"")="","",IFERROR(VLOOKUP(Tabela1[[#This Row],[Novo_Avaliador]],Usuários!$A:$B,2,FALSE),""))</f>
        <v>mariana.moreira@enind.com.br</v>
      </c>
      <c r="P218" t="str">
        <f>IF(Tabela1[[#This Row],[Novo_Avaliador]]=Tabela1[[#This Row],[Avaliador]],"Sim","Não")</f>
        <v>Sim</v>
      </c>
      <c r="Q218" t="b">
        <f>Tabela1[[#This Row],[email_repres]]=Tabela1[[#This Row],[e-mail novo avaliador]]</f>
        <v>1</v>
      </c>
    </row>
    <row r="219" spans="1:17" x14ac:dyDescent="0.25">
      <c r="A219" t="s">
        <v>343</v>
      </c>
      <c r="B219" t="s">
        <v>343</v>
      </c>
      <c r="C219" t="s">
        <v>380</v>
      </c>
      <c r="D219" t="s">
        <v>295</v>
      </c>
      <c r="E219" s="2" t="str">
        <f>VLOOKUP(Tabela1[[#This Row],[Avaliador]],Usuários!A:I,COLUMN($H$1),0)</f>
        <v>matheus.silva</v>
      </c>
      <c r="F219" s="2" t="str">
        <f>VLOOKUP(Tabela1[[#This Row],[Avaliador]],Usuários!$A:$I,COLUMN($I$1),0)</f>
        <v>526ms!@</v>
      </c>
      <c r="G219" s="2" t="str">
        <f>VLOOKUP(Tabela1[[#This Row],[Participante]],Usuários!$A:$I,COLUMN($H$1),0)</f>
        <v>matheus.silva</v>
      </c>
      <c r="H219" s="2" t="str">
        <f>VLOOKUP(Tabela1[[#This Row],[Participante]],Usuários!$A:$I,COLUMN($I$1),0)</f>
        <v>526ms!@</v>
      </c>
      <c r="I219" s="1" t="s">
        <v>6</v>
      </c>
      <c r="J219" s="1" t="s">
        <v>16</v>
      </c>
      <c r="K219" t="s">
        <v>380</v>
      </c>
      <c r="L219" t="s">
        <v>307</v>
      </c>
      <c r="M219" t="str">
        <f>IF(Tabela1[[#This Row],[Tipo_aval]]="auto","Ok",IF(ISERROR(VLOOKUP(Tabela1[[#This Row],[Participante]],Atualização!$B:$B,1,FALSE)),"Ok","Atualizar"))</f>
        <v>Ok</v>
      </c>
      <c r="N21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Matheus Ruan de Jesus Silva</v>
      </c>
      <c r="O219" t="str">
        <f>IF(IFERROR(VLOOKUP(Tabela1[[#This Row],[Novo_Avaliador]],Usuários!$A:$B,2,FALSE),"")="","",IFERROR(VLOOKUP(Tabela1[[#This Row],[Novo_Avaliador]],Usuários!$A:$B,2,FALSE),""))</f>
        <v>matheus.silva@enind.com.br</v>
      </c>
      <c r="P219" t="str">
        <f>IF(Tabela1[[#This Row],[Novo_Avaliador]]=Tabela1[[#This Row],[Avaliador]],"Sim","Não")</f>
        <v>Sim</v>
      </c>
      <c r="Q219" t="b">
        <f>Tabela1[[#This Row],[email_repres]]=Tabela1[[#This Row],[e-mail novo avaliador]]</f>
        <v>1</v>
      </c>
    </row>
    <row r="220" spans="1:17" x14ac:dyDescent="0.25">
      <c r="A220" s="2" t="s">
        <v>240</v>
      </c>
      <c r="B220" s="2" t="s">
        <v>240</v>
      </c>
      <c r="C220" s="2" t="s">
        <v>241</v>
      </c>
      <c r="D220" s="2" t="s">
        <v>295</v>
      </c>
      <c r="E220" s="2" t="str">
        <f>VLOOKUP(Tabela1[[#This Row],[Avaliador]],Usuários!A:I,COLUMN($H$1),0)</f>
        <v>mayara.santos</v>
      </c>
      <c r="F220" s="2" t="str">
        <f>VLOOKUP(Tabela1[[#This Row],[Avaliador]],Usuários!$A:$I,COLUMN($I$1),0)</f>
        <v>193ms!@</v>
      </c>
      <c r="G220" s="2" t="str">
        <f>VLOOKUP(Tabela1[[#This Row],[Participante]],Usuários!$A:$I,COLUMN($H$1),0)</f>
        <v>mayara.santos</v>
      </c>
      <c r="H220" s="2" t="str">
        <f>VLOOKUP(Tabela1[[#This Row],[Participante]],Usuários!$A:$I,COLUMN($I$1),0)</f>
        <v>193ms!@</v>
      </c>
      <c r="I220" s="1" t="s">
        <v>6</v>
      </c>
      <c r="J220" s="1" t="s">
        <v>16</v>
      </c>
      <c r="K220" t="s">
        <v>241</v>
      </c>
      <c r="L220" t="s">
        <v>307</v>
      </c>
      <c r="M220" t="str">
        <f>IF(Tabela1[[#This Row],[Tipo_aval]]="auto","Ok",IF(ISERROR(VLOOKUP(Tabela1[[#This Row],[Participante]],Atualização!$B:$B,1,FALSE)),"Ok","Atualizar"))</f>
        <v>Ok</v>
      </c>
      <c r="N22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Mayara da Silva Santos</v>
      </c>
      <c r="O220" t="str">
        <f>IF(IFERROR(VLOOKUP(Tabela1[[#This Row],[Novo_Avaliador]],Usuários!$A:$B,2,FALSE),"")="","",IFERROR(VLOOKUP(Tabela1[[#This Row],[Novo_Avaliador]],Usuários!$A:$B,2,FALSE),""))</f>
        <v>mayara.santos@enind.com.br</v>
      </c>
      <c r="P220" t="str">
        <f>IF(Tabela1[[#This Row],[Novo_Avaliador]]=Tabela1[[#This Row],[Avaliador]],"Sim","Não")</f>
        <v>Sim</v>
      </c>
      <c r="Q220" t="b">
        <f>Tabela1[[#This Row],[email_repres]]=Tabela1[[#This Row],[e-mail novo avaliador]]</f>
        <v>1</v>
      </c>
    </row>
    <row r="221" spans="1:17" x14ac:dyDescent="0.25">
      <c r="A221" t="s">
        <v>344</v>
      </c>
      <c r="B221" t="s">
        <v>344</v>
      </c>
      <c r="C221" t="s">
        <v>381</v>
      </c>
      <c r="D221" t="s">
        <v>295</v>
      </c>
      <c r="E221" s="2" t="str">
        <f>VLOOKUP(Tabela1[[#This Row],[Avaliador]],Usuários!A:I,COLUMN($H$1),0)</f>
        <v>milena.alkmin</v>
      </c>
      <c r="F221" s="2" t="str">
        <f>VLOOKUP(Tabela1[[#This Row],[Avaliador]],Usuários!$A:$I,COLUMN($I$1),0)</f>
        <v>825ma!@</v>
      </c>
      <c r="G221" s="2" t="str">
        <f>VLOOKUP(Tabela1[[#This Row],[Participante]],Usuários!$A:$I,COLUMN($H$1),0)</f>
        <v>milena.alkmin</v>
      </c>
      <c r="H221" s="2" t="str">
        <f>VLOOKUP(Tabela1[[#This Row],[Participante]],Usuários!$A:$I,COLUMN($I$1),0)</f>
        <v>825ma!@</v>
      </c>
      <c r="I221" s="1" t="s">
        <v>6</v>
      </c>
      <c r="J221" s="1" t="s">
        <v>16</v>
      </c>
      <c r="K221" t="s">
        <v>736</v>
      </c>
      <c r="L221" t="s">
        <v>307</v>
      </c>
      <c r="M221" t="str">
        <f>IF(Tabela1[[#This Row],[Tipo_aval]]="auto","Ok",IF(ISERROR(VLOOKUP(Tabela1[[#This Row],[Participante]],Atualização!$B:$B,1,FALSE)),"Ok","Atualizar"))</f>
        <v>Ok</v>
      </c>
      <c r="N22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Milena Alkmin</v>
      </c>
      <c r="O221" t="str">
        <f>IF(IFERROR(VLOOKUP(Tabela1[[#This Row],[Novo_Avaliador]],Usuários!$A:$B,2,FALSE),"")="","",IFERROR(VLOOKUP(Tabela1[[#This Row],[Novo_Avaliador]],Usuários!$A:$B,2,FALSE),""))</f>
        <v>milena.souza@enind.com.br</v>
      </c>
      <c r="P221" t="str">
        <f>IF(Tabela1[[#This Row],[Novo_Avaliador]]=Tabela1[[#This Row],[Avaliador]],"Sim","Não")</f>
        <v>Sim</v>
      </c>
      <c r="Q221" t="b">
        <f>Tabela1[[#This Row],[email_repres]]=Tabela1[[#This Row],[e-mail novo avaliador]]</f>
        <v>1</v>
      </c>
    </row>
    <row r="222" spans="1:17" x14ac:dyDescent="0.25">
      <c r="A222" s="2" t="s">
        <v>185</v>
      </c>
      <c r="B222" s="2" t="s">
        <v>185</v>
      </c>
      <c r="C222" s="2" t="s">
        <v>243</v>
      </c>
      <c r="D222" s="2" t="s">
        <v>295</v>
      </c>
      <c r="E222" s="2" t="str">
        <f>VLOOKUP(Tabela1[[#This Row],[Avaliador]],Usuários!A:I,COLUMN($H$1),0)</f>
        <v>miriam.carvalho</v>
      </c>
      <c r="F222" s="2" t="str">
        <f>VLOOKUP(Tabela1[[#This Row],[Avaliador]],Usuários!$A:$I,COLUMN($I$1),0)</f>
        <v>212mc!@</v>
      </c>
      <c r="G222" s="2" t="str">
        <f>VLOOKUP(Tabela1[[#This Row],[Participante]],Usuários!$A:$I,COLUMN($H$1),0)</f>
        <v>miriam.carvalho</v>
      </c>
      <c r="H222" s="2" t="str">
        <f>VLOOKUP(Tabela1[[#This Row],[Participante]],Usuários!$A:$I,COLUMN($I$1),0)</f>
        <v>212mc!@</v>
      </c>
      <c r="I222" s="1" t="s">
        <v>6</v>
      </c>
      <c r="J222" s="1" t="s">
        <v>16</v>
      </c>
      <c r="K222" t="s">
        <v>243</v>
      </c>
      <c r="L222" t="s">
        <v>307</v>
      </c>
      <c r="M222" t="str">
        <f>IF(Tabela1[[#This Row],[Tipo_aval]]="auto","Ok",IF(ISERROR(VLOOKUP(Tabela1[[#This Row],[Participante]],Atualização!$B:$B,1,FALSE)),"Ok","Atualizar"))</f>
        <v>Ok</v>
      </c>
      <c r="N22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Miriam de Oliveira Carvalho</v>
      </c>
      <c r="O222" t="str">
        <f>IF(IFERROR(VLOOKUP(Tabela1[[#This Row],[Novo_Avaliador]],Usuários!$A:$B,2,FALSE),"")="","",IFERROR(VLOOKUP(Tabela1[[#This Row],[Novo_Avaliador]],Usuários!$A:$B,2,FALSE),""))</f>
        <v>miriam.carvalho@enind.com.br</v>
      </c>
      <c r="P222" t="str">
        <f>IF(Tabela1[[#This Row],[Novo_Avaliador]]=Tabela1[[#This Row],[Avaliador]],"Sim","Não")</f>
        <v>Sim</v>
      </c>
      <c r="Q222" t="b">
        <f>Tabela1[[#This Row],[email_repres]]=Tabela1[[#This Row],[e-mail novo avaliador]]</f>
        <v>1</v>
      </c>
    </row>
    <row r="223" spans="1:17" x14ac:dyDescent="0.25">
      <c r="A223" s="2" t="s">
        <v>167</v>
      </c>
      <c r="B223" s="2" t="s">
        <v>167</v>
      </c>
      <c r="C223" s="2" t="s">
        <v>244</v>
      </c>
      <c r="D223" s="2" t="s">
        <v>295</v>
      </c>
      <c r="E223" s="2" t="str">
        <f>VLOOKUP(Tabela1[[#This Row],[Avaliador]],Usuários!A:I,COLUMN($H$1),0)</f>
        <v>murilo.guidi</v>
      </c>
      <c r="F223" s="2" t="str">
        <f>VLOOKUP(Tabela1[[#This Row],[Avaliador]],Usuários!$A:$I,COLUMN($I$1),0)</f>
        <v>617mg!@</v>
      </c>
      <c r="G223" s="2" t="str">
        <f>VLOOKUP(Tabela1[[#This Row],[Participante]],Usuários!$A:$I,COLUMN($H$1),0)</f>
        <v>murilo.guidi</v>
      </c>
      <c r="H223" s="2" t="str">
        <f>VLOOKUP(Tabela1[[#This Row],[Participante]],Usuários!$A:$I,COLUMN($I$1),0)</f>
        <v>617mg!@</v>
      </c>
      <c r="I223" s="1" t="s">
        <v>6</v>
      </c>
      <c r="J223" s="1" t="s">
        <v>16</v>
      </c>
      <c r="K223" t="s">
        <v>244</v>
      </c>
      <c r="L223" t="s">
        <v>307</v>
      </c>
      <c r="M223" t="str">
        <f>IF(Tabela1[[#This Row],[Tipo_aval]]="auto","Ok",IF(ISERROR(VLOOKUP(Tabela1[[#This Row],[Participante]],Atualização!$B:$B,1,FALSE)),"Ok","Atualizar"))</f>
        <v>Ok</v>
      </c>
      <c r="N22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Murilo Cezari Guidi</v>
      </c>
      <c r="O223" t="str">
        <f>IF(IFERROR(VLOOKUP(Tabela1[[#This Row],[Novo_Avaliador]],Usuários!$A:$B,2,FALSE),"")="","",IFERROR(VLOOKUP(Tabela1[[#This Row],[Novo_Avaliador]],Usuários!$A:$B,2,FALSE),""))</f>
        <v>murilo.guidi@enind.com.br</v>
      </c>
      <c r="P223" t="str">
        <f>IF(Tabela1[[#This Row],[Novo_Avaliador]]=Tabela1[[#This Row],[Avaliador]],"Sim","Não")</f>
        <v>Sim</v>
      </c>
      <c r="Q223" t="b">
        <f>Tabela1[[#This Row],[email_repres]]=Tabela1[[#This Row],[e-mail novo avaliador]]</f>
        <v>1</v>
      </c>
    </row>
    <row r="224" spans="1:17" x14ac:dyDescent="0.25">
      <c r="A224" t="s">
        <v>345</v>
      </c>
      <c r="B224" t="s">
        <v>345</v>
      </c>
      <c r="C224" t="s">
        <v>382</v>
      </c>
      <c r="D224" t="s">
        <v>295</v>
      </c>
      <c r="E224" s="2" t="str">
        <f>VLOOKUP(Tabela1[[#This Row],[Avaliador]],Usuários!A:I,COLUMN($H$1),0)</f>
        <v>natalia.santos</v>
      </c>
      <c r="F224" s="2" t="str">
        <f>VLOOKUP(Tabela1[[#This Row],[Avaliador]],Usuários!$A:$I,COLUMN($I$1),0)</f>
        <v>592ns!@</v>
      </c>
      <c r="G224" s="2" t="str">
        <f>VLOOKUP(Tabela1[[#This Row],[Participante]],Usuários!$A:$I,COLUMN($H$1),0)</f>
        <v>natalia.santos</v>
      </c>
      <c r="H224" s="2" t="str">
        <f>VLOOKUP(Tabela1[[#This Row],[Participante]],Usuários!$A:$I,COLUMN($I$1),0)</f>
        <v>592ns!@</v>
      </c>
      <c r="I224" s="1" t="s">
        <v>6</v>
      </c>
      <c r="J224" s="1" t="s">
        <v>16</v>
      </c>
      <c r="K224" t="s">
        <v>382</v>
      </c>
      <c r="L224" t="s">
        <v>307</v>
      </c>
      <c r="M224" t="str">
        <f>IF(Tabela1[[#This Row],[Tipo_aval]]="auto","Ok",IF(ISERROR(VLOOKUP(Tabela1[[#This Row],[Participante]],Atualização!$B:$B,1,FALSE)),"Ok","Atualizar"))</f>
        <v>Ok</v>
      </c>
      <c r="N22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Natalia Gomes Dos Santos</v>
      </c>
      <c r="O224" t="str">
        <f>IF(IFERROR(VLOOKUP(Tabela1[[#This Row],[Novo_Avaliador]],Usuários!$A:$B,2,FALSE),"")="","",IFERROR(VLOOKUP(Tabela1[[#This Row],[Novo_Avaliador]],Usuários!$A:$B,2,FALSE),""))</f>
        <v>natalia.santos@enind.com.br</v>
      </c>
      <c r="P224" t="str">
        <f>IF(Tabela1[[#This Row],[Novo_Avaliador]]=Tabela1[[#This Row],[Avaliador]],"Sim","Não")</f>
        <v>Sim</v>
      </c>
      <c r="Q224" t="b">
        <f>Tabela1[[#This Row],[email_repres]]=Tabela1[[#This Row],[e-mail novo avaliador]]</f>
        <v>1</v>
      </c>
    </row>
    <row r="225" spans="1:17" x14ac:dyDescent="0.25">
      <c r="A225" t="s">
        <v>346</v>
      </c>
      <c r="B225" t="s">
        <v>346</v>
      </c>
      <c r="C225" t="s">
        <v>383</v>
      </c>
      <c r="D225" t="s">
        <v>295</v>
      </c>
      <c r="E225" s="2" t="str">
        <f>VLOOKUP(Tabela1[[#This Row],[Avaliador]],Usuários!A:I,COLUMN($H$1),0)</f>
        <v>nicholas.rezende</v>
      </c>
      <c r="F225" s="2" t="str">
        <f>VLOOKUP(Tabela1[[#This Row],[Avaliador]],Usuários!$A:$I,COLUMN($I$1),0)</f>
        <v>467nr!@</v>
      </c>
      <c r="G225" s="2" t="str">
        <f>VLOOKUP(Tabela1[[#This Row],[Participante]],Usuários!$A:$I,COLUMN($H$1),0)</f>
        <v>nicholas.rezende</v>
      </c>
      <c r="H225" s="2" t="str">
        <f>VLOOKUP(Tabela1[[#This Row],[Participante]],Usuários!$A:$I,COLUMN($I$1),0)</f>
        <v>467nr!@</v>
      </c>
      <c r="I225" s="1" t="s">
        <v>6</v>
      </c>
      <c r="J225" s="1" t="s">
        <v>16</v>
      </c>
      <c r="K225" t="s">
        <v>383</v>
      </c>
      <c r="L225" t="s">
        <v>307</v>
      </c>
      <c r="M225" t="str">
        <f>IF(Tabela1[[#This Row],[Tipo_aval]]="auto","Ok",IF(ISERROR(VLOOKUP(Tabela1[[#This Row],[Participante]],Atualização!$B:$B,1,FALSE)),"Ok","Atualizar"))</f>
        <v>Ok</v>
      </c>
      <c r="N22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Nicholas Rezende</v>
      </c>
      <c r="O225" t="str">
        <f>IF(IFERROR(VLOOKUP(Tabela1[[#This Row],[Novo_Avaliador]],Usuários!$A:$B,2,FALSE),"")="","",IFERROR(VLOOKUP(Tabela1[[#This Row],[Novo_Avaliador]],Usuários!$A:$B,2,FALSE),""))</f>
        <v>nicholas.rezende@enind.com.br</v>
      </c>
      <c r="P225" t="str">
        <f>IF(Tabela1[[#This Row],[Novo_Avaliador]]=Tabela1[[#This Row],[Avaliador]],"Sim","Não")</f>
        <v>Sim</v>
      </c>
      <c r="Q225" t="b">
        <f>Tabela1[[#This Row],[email_repres]]=Tabela1[[#This Row],[e-mail novo avaliador]]</f>
        <v>1</v>
      </c>
    </row>
    <row r="226" spans="1:17" x14ac:dyDescent="0.25">
      <c r="A226" s="2" t="s">
        <v>245</v>
      </c>
      <c r="B226" s="2" t="s">
        <v>245</v>
      </c>
      <c r="C226" s="2" t="s">
        <v>246</v>
      </c>
      <c r="D226" s="2" t="s">
        <v>295</v>
      </c>
      <c r="E226" s="2" t="str">
        <f>VLOOKUP(Tabela1[[#This Row],[Avaliador]],Usuários!A:I,COLUMN($H$1),0)</f>
        <v>pablo.almeida</v>
      </c>
      <c r="F226" s="2" t="str">
        <f>VLOOKUP(Tabela1[[#This Row],[Avaliador]],Usuários!$A:$I,COLUMN($I$1),0)</f>
        <v>287pa!@</v>
      </c>
      <c r="G226" s="2" t="str">
        <f>VLOOKUP(Tabela1[[#This Row],[Participante]],Usuários!$A:$I,COLUMN($H$1),0)</f>
        <v>pablo.almeida</v>
      </c>
      <c r="H226" s="2" t="str">
        <f>VLOOKUP(Tabela1[[#This Row],[Participante]],Usuários!$A:$I,COLUMN($I$1),0)</f>
        <v>287pa!@</v>
      </c>
      <c r="I226" s="1" t="s">
        <v>6</v>
      </c>
      <c r="J226" s="1" t="s">
        <v>16</v>
      </c>
      <c r="K226" t="s">
        <v>246</v>
      </c>
      <c r="L226" t="s">
        <v>307</v>
      </c>
      <c r="M226" t="str">
        <f>IF(Tabela1[[#This Row],[Tipo_aval]]="auto","Ok",IF(ISERROR(VLOOKUP(Tabela1[[#This Row],[Participante]],Atualização!$B:$B,1,FALSE)),"Ok","Atualizar"))</f>
        <v>Ok</v>
      </c>
      <c r="N22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Pablo Alexandre da Silva Almeida</v>
      </c>
      <c r="O226" t="str">
        <f>IF(IFERROR(VLOOKUP(Tabela1[[#This Row],[Novo_Avaliador]],Usuários!$A:$B,2,FALSE),"")="","",IFERROR(VLOOKUP(Tabela1[[#This Row],[Novo_Avaliador]],Usuários!$A:$B,2,FALSE),""))</f>
        <v>pablo.almeida@enind.com.br</v>
      </c>
      <c r="P226" t="str">
        <f>IF(Tabela1[[#This Row],[Novo_Avaliador]]=Tabela1[[#This Row],[Avaliador]],"Sim","Não")</f>
        <v>Sim</v>
      </c>
      <c r="Q226" t="b">
        <f>Tabela1[[#This Row],[email_repres]]=Tabela1[[#This Row],[e-mail novo avaliador]]</f>
        <v>1</v>
      </c>
    </row>
    <row r="227" spans="1:17" x14ac:dyDescent="0.25">
      <c r="A227" t="s">
        <v>31</v>
      </c>
      <c r="B227" t="s">
        <v>164</v>
      </c>
      <c r="C227" t="s">
        <v>248</v>
      </c>
      <c r="D227" t="s">
        <v>303</v>
      </c>
      <c r="E227" s="2" t="str">
        <f>VLOOKUP(Tabela1[[#This Row],[Avaliador]],Usuários!A:I,COLUMN($H$1),0)</f>
        <v>pierre.marinho</v>
      </c>
      <c r="F227" s="2" t="str">
        <f>VLOOKUP(Tabela1[[#This Row],[Avaliador]],Usuários!$A:$I,COLUMN($I$1),0)</f>
        <v>063pm!@</v>
      </c>
      <c r="G227" s="2" t="str">
        <f>VLOOKUP(Tabela1[[#This Row],[Participante]],Usuários!$A:$I,COLUMN($H$1),0)</f>
        <v>valeria.souza</v>
      </c>
      <c r="H227" s="2" t="str">
        <f>VLOOKUP(Tabela1[[#This Row],[Participante]],Usuários!$A:$I,COLUMN($I$1),0)</f>
        <v>110vs!@</v>
      </c>
      <c r="I227" s="1" t="s">
        <v>16</v>
      </c>
      <c r="J227" s="1" t="s">
        <v>16</v>
      </c>
      <c r="K227" t="str">
        <f>Tabela1[[#This Row],[Email]]</f>
        <v>pierre.marinho@enind.com.br</v>
      </c>
      <c r="L227" t="s">
        <v>309</v>
      </c>
      <c r="M227" t="str">
        <f>IF(Tabela1[[#This Row],[Tipo_aval]]="auto","Ok",IF(ISERROR(VLOOKUP(Tabela1[[#This Row],[Participante]],Atualização!$B:$B,1,FALSE)),"Ok","Atualizar"))</f>
        <v>Atualizar</v>
      </c>
      <c r="N22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27" t="str">
        <f>IF(IFERROR(VLOOKUP(Tabela1[[#This Row],[Novo_Avaliador]],Usuários!$A:$B,2,FALSE),"")="","",IFERROR(VLOOKUP(Tabela1[[#This Row],[Novo_Avaliador]],Usuários!$A:$B,2,FALSE),""))</f>
        <v>pierre.marinho@enind.com.br</v>
      </c>
      <c r="P227" t="str">
        <f>IF(Tabela1[[#This Row],[Novo_Avaliador]]=Tabela1[[#This Row],[Avaliador]],"Sim","Não")</f>
        <v>Sim</v>
      </c>
      <c r="Q227" t="b">
        <f>Tabela1[[#This Row],[email_repres]]=Tabela1[[#This Row],[e-mail novo avaliador]]</f>
        <v>1</v>
      </c>
    </row>
    <row r="228" spans="1:17" x14ac:dyDescent="0.25">
      <c r="A228" s="2" t="s">
        <v>169</v>
      </c>
      <c r="B228" s="2" t="s">
        <v>164</v>
      </c>
      <c r="C228" s="2" t="s">
        <v>248</v>
      </c>
      <c r="D228" s="2" t="s">
        <v>297</v>
      </c>
      <c r="E228" s="2" t="str">
        <f>VLOOKUP(Tabela1[[#This Row],[Avaliador]],Usuários!A:I,COLUMN($H$1),0)</f>
        <v>pierre.marinho</v>
      </c>
      <c r="F228" s="2" t="str">
        <f>VLOOKUP(Tabela1[[#This Row],[Avaliador]],Usuários!$A:$I,COLUMN($I$1),0)</f>
        <v>063pm!@</v>
      </c>
      <c r="G228" s="2" t="str">
        <f>VLOOKUP(Tabela1[[#This Row],[Participante]],Usuários!$A:$I,COLUMN($H$1),0)</f>
        <v>guilherme.silva</v>
      </c>
      <c r="H228" s="2" t="str">
        <f>VLOOKUP(Tabela1[[#This Row],[Participante]],Usuários!$A:$I,COLUMN($I$1),0)</f>
        <v>942gs!@</v>
      </c>
      <c r="I228" s="1" t="s">
        <v>16</v>
      </c>
      <c r="J228" s="1" t="s">
        <v>16</v>
      </c>
      <c r="K228" t="s">
        <v>248</v>
      </c>
      <c r="L228" t="s">
        <v>307</v>
      </c>
      <c r="M228" t="str">
        <f>IF(Tabela1[[#This Row],[Tipo_aval]]="auto","Ok",IF(ISERROR(VLOOKUP(Tabela1[[#This Row],[Participante]],Atualização!$B:$B,1,FALSE)),"Ok","Atualizar"))</f>
        <v>Ok</v>
      </c>
      <c r="N22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28" t="str">
        <f>IF(IFERROR(VLOOKUP(Tabela1[[#This Row],[Novo_Avaliador]],Usuários!$A:$B,2,FALSE),"")="","",IFERROR(VLOOKUP(Tabela1[[#This Row],[Novo_Avaliador]],Usuários!$A:$B,2,FALSE),""))</f>
        <v>pierre.marinho@enind.com.br</v>
      </c>
      <c r="P228" t="str">
        <f>IF(Tabela1[[#This Row],[Novo_Avaliador]]=Tabela1[[#This Row],[Avaliador]],"Sim","Não")</f>
        <v>Sim</v>
      </c>
      <c r="Q228" t="b">
        <f>Tabela1[[#This Row],[email_repres]]=Tabela1[[#This Row],[e-mail novo avaliador]]</f>
        <v>1</v>
      </c>
    </row>
    <row r="229" spans="1:17" x14ac:dyDescent="0.25">
      <c r="A229" s="2" t="s">
        <v>209</v>
      </c>
      <c r="B229" s="2" t="s">
        <v>164</v>
      </c>
      <c r="C229" s="2" t="s">
        <v>248</v>
      </c>
      <c r="D229" s="2" t="s">
        <v>297</v>
      </c>
      <c r="E229" s="2" t="str">
        <f>VLOOKUP(Tabela1[[#This Row],[Avaliador]],Usuários!A:I,COLUMN($H$1),0)</f>
        <v>pierre.marinho</v>
      </c>
      <c r="F229" s="2" t="str">
        <f>VLOOKUP(Tabela1[[#This Row],[Avaliador]],Usuários!$A:$I,COLUMN($I$1),0)</f>
        <v>063pm!@</v>
      </c>
      <c r="G229" s="2" t="str">
        <f>VLOOKUP(Tabela1[[#This Row],[Participante]],Usuários!$A:$I,COLUMN($H$1),0)</f>
        <v>joaquim.souza</v>
      </c>
      <c r="H229" s="2" t="str">
        <f>VLOOKUP(Tabela1[[#This Row],[Participante]],Usuários!$A:$I,COLUMN($I$1),0)</f>
        <v>005js!@</v>
      </c>
      <c r="I229" s="1" t="s">
        <v>16</v>
      </c>
      <c r="J229" s="1" t="s">
        <v>16</v>
      </c>
      <c r="K229" t="s">
        <v>248</v>
      </c>
      <c r="L229" t="s">
        <v>309</v>
      </c>
      <c r="M229" t="str">
        <f>IF(Tabela1[[#This Row],[Tipo_aval]]="auto","Ok",IF(ISERROR(VLOOKUP(Tabela1[[#This Row],[Participante]],Atualização!$B:$B,1,FALSE)),"Ok","Atualizar"))</f>
        <v>Ok</v>
      </c>
      <c r="N22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29" t="str">
        <f>IF(IFERROR(VLOOKUP(Tabela1[[#This Row],[Novo_Avaliador]],Usuários!$A:$B,2,FALSE),"")="","",IFERROR(VLOOKUP(Tabela1[[#This Row],[Novo_Avaliador]],Usuários!$A:$B,2,FALSE),""))</f>
        <v>pierre.marinho@enind.com.br</v>
      </c>
      <c r="P229" t="str">
        <f>IF(Tabela1[[#This Row],[Novo_Avaliador]]=Tabela1[[#This Row],[Avaliador]],"Sim","Não")</f>
        <v>Sim</v>
      </c>
      <c r="Q229" t="b">
        <f>Tabela1[[#This Row],[email_repres]]=Tabela1[[#This Row],[e-mail novo avaliador]]</f>
        <v>1</v>
      </c>
    </row>
    <row r="230" spans="1:17" x14ac:dyDescent="0.25">
      <c r="A230" s="2" t="s">
        <v>161</v>
      </c>
      <c r="B230" s="2" t="s">
        <v>164</v>
      </c>
      <c r="C230" s="2" t="s">
        <v>248</v>
      </c>
      <c r="D230" s="2" t="s">
        <v>303</v>
      </c>
      <c r="E230" s="2" t="str">
        <f>VLOOKUP(Tabela1[[#This Row],[Avaliador]],Usuários!A:I,COLUMN($H$1),0)</f>
        <v>pierre.marinho</v>
      </c>
      <c r="F230" s="2" t="str">
        <f>VLOOKUP(Tabela1[[#This Row],[Avaliador]],Usuários!$A:$I,COLUMN($I$1),0)</f>
        <v>063pm!@</v>
      </c>
      <c r="G230" s="2" t="str">
        <f>VLOOKUP(Tabela1[[#This Row],[Participante]],Usuários!$A:$I,COLUMN($H$1),0)</f>
        <v>gabriela.lima</v>
      </c>
      <c r="H230" s="2" t="str">
        <f>VLOOKUP(Tabela1[[#This Row],[Participante]],Usuários!$A:$I,COLUMN($I$1),0)</f>
        <v>958gl!@</v>
      </c>
      <c r="I230" s="1" t="s">
        <v>16</v>
      </c>
      <c r="J230" s="1" t="s">
        <v>16</v>
      </c>
      <c r="K230" t="s">
        <v>248</v>
      </c>
      <c r="L230" t="s">
        <v>307</v>
      </c>
      <c r="M230" t="str">
        <f>IF(Tabela1[[#This Row],[Tipo_aval]]="auto","Ok",IF(ISERROR(VLOOKUP(Tabela1[[#This Row],[Participante]],Atualização!$B:$B,1,FALSE)),"Ok","Atualizar"))</f>
        <v>Ok</v>
      </c>
      <c r="N23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0" t="str">
        <f>IF(IFERROR(VLOOKUP(Tabela1[[#This Row],[Novo_Avaliador]],Usuários!$A:$B,2,FALSE),"")="","",IFERROR(VLOOKUP(Tabela1[[#This Row],[Novo_Avaliador]],Usuários!$A:$B,2,FALSE),""))</f>
        <v>pierre.marinho@enind.com.br</v>
      </c>
      <c r="P230" t="str">
        <f>IF(Tabela1[[#This Row],[Novo_Avaliador]]=Tabela1[[#This Row],[Avaliador]],"Sim","Não")</f>
        <v>Sim</v>
      </c>
      <c r="Q230" t="b">
        <f>Tabela1[[#This Row],[email_repres]]=Tabela1[[#This Row],[e-mail novo avaliador]]</f>
        <v>1</v>
      </c>
    </row>
    <row r="231" spans="1:17" x14ac:dyDescent="0.25">
      <c r="A231" t="s">
        <v>212</v>
      </c>
      <c r="B231" t="s">
        <v>164</v>
      </c>
      <c r="C231" t="s">
        <v>248</v>
      </c>
      <c r="D231" t="s">
        <v>303</v>
      </c>
      <c r="E231" s="2" t="str">
        <f>VLOOKUP(Tabela1[[#This Row],[Avaliador]],Usuários!A:I,COLUMN($H$1),0)</f>
        <v>pierre.marinho</v>
      </c>
      <c r="F231" s="2" t="str">
        <f>VLOOKUP(Tabela1[[#This Row],[Avaliador]],Usuários!$A:$I,COLUMN($I$1),0)</f>
        <v>063pm!@</v>
      </c>
      <c r="G231" s="2" t="str">
        <f>VLOOKUP(Tabela1[[#This Row],[Participante]],Usuários!$A:$I,COLUMN($H$1),0)</f>
        <v>juliana.melo</v>
      </c>
      <c r="H231" s="2" t="str">
        <f>VLOOKUP(Tabela1[[#This Row],[Participante]],Usuários!$A:$I,COLUMN($I$1),0)</f>
        <v>759jm!@</v>
      </c>
      <c r="I231" s="1" t="s">
        <v>16</v>
      </c>
      <c r="J231" s="1" t="s">
        <v>16</v>
      </c>
      <c r="K231" t="s">
        <v>248</v>
      </c>
      <c r="L231" t="s">
        <v>307</v>
      </c>
      <c r="M231" t="str">
        <f>IF(Tabela1[[#This Row],[Tipo_aval]]="auto","Ok",IF(ISERROR(VLOOKUP(Tabela1[[#This Row],[Participante]],Atualização!$B:$B,1,FALSE)),"Ok","Atualizar"))</f>
        <v>Ok</v>
      </c>
      <c r="N23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1" t="str">
        <f>IF(IFERROR(VLOOKUP(Tabela1[[#This Row],[Novo_Avaliador]],Usuários!$A:$B,2,FALSE),"")="","",IFERROR(VLOOKUP(Tabela1[[#This Row],[Novo_Avaliador]],Usuários!$A:$B,2,FALSE),""))</f>
        <v>pierre.marinho@enind.com.br</v>
      </c>
      <c r="P231" t="str">
        <f>IF(Tabela1[[#This Row],[Novo_Avaliador]]=Tabela1[[#This Row],[Avaliador]],"Sim","Não")</f>
        <v>Sim</v>
      </c>
      <c r="Q231" t="b">
        <f>Tabela1[[#This Row],[email_repres]]=Tabela1[[#This Row],[e-mail novo avaliador]]</f>
        <v>1</v>
      </c>
    </row>
    <row r="232" spans="1:17" x14ac:dyDescent="0.25">
      <c r="A232" t="s">
        <v>245</v>
      </c>
      <c r="B232" t="s">
        <v>164</v>
      </c>
      <c r="C232" t="s">
        <v>248</v>
      </c>
      <c r="D232" t="s">
        <v>303</v>
      </c>
      <c r="E232" s="2" t="str">
        <f>VLOOKUP(Tabela1[[#This Row],[Avaliador]],Usuários!A:I,COLUMN($H$1),0)</f>
        <v>pierre.marinho</v>
      </c>
      <c r="F232" s="2" t="str">
        <f>VLOOKUP(Tabela1[[#This Row],[Avaliador]],Usuários!$A:$I,COLUMN($I$1),0)</f>
        <v>063pm!@</v>
      </c>
      <c r="G232" s="2" t="str">
        <f>VLOOKUP(Tabela1[[#This Row],[Participante]],Usuários!$A:$I,COLUMN($H$1),0)</f>
        <v>pablo.almeida</v>
      </c>
      <c r="H232" s="2" t="str">
        <f>VLOOKUP(Tabela1[[#This Row],[Participante]],Usuários!$A:$I,COLUMN($I$1),0)</f>
        <v>287pa!@</v>
      </c>
      <c r="I232" s="1" t="s">
        <v>16</v>
      </c>
      <c r="J232" s="1" t="s">
        <v>16</v>
      </c>
      <c r="K232" t="s">
        <v>248</v>
      </c>
      <c r="L232" t="s">
        <v>307</v>
      </c>
      <c r="M232" t="str">
        <f>IF(Tabela1[[#This Row],[Tipo_aval]]="auto","Ok",IF(ISERROR(VLOOKUP(Tabela1[[#This Row],[Participante]],Atualização!$B:$B,1,FALSE)),"Ok","Atualizar"))</f>
        <v>Ok</v>
      </c>
      <c r="N23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2" t="str">
        <f>IF(IFERROR(VLOOKUP(Tabela1[[#This Row],[Novo_Avaliador]],Usuários!$A:$B,2,FALSE),"")="","",IFERROR(VLOOKUP(Tabela1[[#This Row],[Novo_Avaliador]],Usuários!$A:$B,2,FALSE),""))</f>
        <v>pierre.marinho@enind.com.br</v>
      </c>
      <c r="P232" t="str">
        <f>IF(Tabela1[[#This Row],[Novo_Avaliador]]=Tabela1[[#This Row],[Avaliador]],"Sim","Não")</f>
        <v>Sim</v>
      </c>
      <c r="Q232" t="b">
        <f>Tabela1[[#This Row],[email_repres]]=Tabela1[[#This Row],[e-mail novo avaliador]]</f>
        <v>1</v>
      </c>
    </row>
    <row r="233" spans="1:17" x14ac:dyDescent="0.25">
      <c r="A233" t="s">
        <v>268</v>
      </c>
      <c r="B233" t="s">
        <v>164</v>
      </c>
      <c r="C233" t="s">
        <v>248</v>
      </c>
      <c r="D233" t="s">
        <v>303</v>
      </c>
      <c r="E233" s="2" t="str">
        <f>VLOOKUP(Tabela1[[#This Row],[Avaliador]],Usuários!A:I,COLUMN($H$1),0)</f>
        <v>pierre.marinho</v>
      </c>
      <c r="F233" s="2" t="str">
        <f>VLOOKUP(Tabela1[[#This Row],[Avaliador]],Usuários!$A:$I,COLUMN($I$1),0)</f>
        <v>063pm!@</v>
      </c>
      <c r="G233" s="2" t="str">
        <f>VLOOKUP(Tabela1[[#This Row],[Participante]],Usuários!$A:$I,COLUMN($H$1),0)</f>
        <v>thelma.alves</v>
      </c>
      <c r="H233" s="2" t="str">
        <f>VLOOKUP(Tabela1[[#This Row],[Participante]],Usuários!$A:$I,COLUMN($I$1),0)</f>
        <v>371ta!@</v>
      </c>
      <c r="I233" s="1" t="s">
        <v>16</v>
      </c>
      <c r="J233" s="1" t="s">
        <v>16</v>
      </c>
      <c r="K233" t="s">
        <v>248</v>
      </c>
      <c r="L233" t="s">
        <v>307</v>
      </c>
      <c r="M233" t="str">
        <f>IF(Tabela1[[#This Row],[Tipo_aval]]="auto","Ok",IF(ISERROR(VLOOKUP(Tabela1[[#This Row],[Participante]],Atualização!$B:$B,1,FALSE)),"Ok","Atualizar"))</f>
        <v>Ok</v>
      </c>
      <c r="N23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3" t="str">
        <f>IF(IFERROR(VLOOKUP(Tabela1[[#This Row],[Novo_Avaliador]],Usuários!$A:$B,2,FALSE),"")="","",IFERROR(VLOOKUP(Tabela1[[#This Row],[Novo_Avaliador]],Usuários!$A:$B,2,FALSE),""))</f>
        <v>pierre.marinho@enind.com.br</v>
      </c>
      <c r="P233" t="str">
        <f>IF(Tabela1[[#This Row],[Novo_Avaliador]]=Tabela1[[#This Row],[Avaliador]],"Sim","Não")</f>
        <v>Sim</v>
      </c>
      <c r="Q233" t="b">
        <f>Tabela1[[#This Row],[email_repres]]=Tabela1[[#This Row],[e-mail novo avaliador]]</f>
        <v>1</v>
      </c>
    </row>
    <row r="234" spans="1:17" x14ac:dyDescent="0.25">
      <c r="A234" t="s">
        <v>322</v>
      </c>
      <c r="B234" t="s">
        <v>164</v>
      </c>
      <c r="C234" t="s">
        <v>248</v>
      </c>
      <c r="D234" t="s">
        <v>303</v>
      </c>
      <c r="E234" s="2" t="str">
        <f>VLOOKUP(Tabela1[[#This Row],[Avaliador]],Usuários!A:I,COLUMN($H$1),0)</f>
        <v>pierre.marinho</v>
      </c>
      <c r="F234" s="2" t="str">
        <f>VLOOKUP(Tabela1[[#This Row],[Avaliador]],Usuários!$A:$I,COLUMN($I$1),0)</f>
        <v>063pm!@</v>
      </c>
      <c r="G234" s="2" t="str">
        <f>VLOOKUP(Tabela1[[#This Row],[Participante]],Usuários!$A:$I,COLUMN($H$1),0)</f>
        <v>antonio.almeida</v>
      </c>
      <c r="H234" s="2" t="str">
        <f>VLOOKUP(Tabela1[[#This Row],[Participante]],Usuários!$A:$I,COLUMN($I$1),0)</f>
        <v>517aa!@</v>
      </c>
      <c r="I234" s="1" t="s">
        <v>16</v>
      </c>
      <c r="J234" s="1" t="s">
        <v>16</v>
      </c>
      <c r="K234" t="s">
        <v>248</v>
      </c>
      <c r="L234" t="s">
        <v>307</v>
      </c>
      <c r="M234" t="str">
        <f>IF(Tabela1[[#This Row],[Tipo_aval]]="auto","Ok",IF(ISERROR(VLOOKUP(Tabela1[[#This Row],[Participante]],Atualização!$B:$B,1,FALSE)),"Ok","Atualizar"))</f>
        <v>Ok</v>
      </c>
      <c r="N23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4" t="str">
        <f>IF(IFERROR(VLOOKUP(Tabela1[[#This Row],[Novo_Avaliador]],Usuários!$A:$B,2,FALSE),"")="","",IFERROR(VLOOKUP(Tabela1[[#This Row],[Novo_Avaliador]],Usuários!$A:$B,2,FALSE),""))</f>
        <v>pierre.marinho@enind.com.br</v>
      </c>
      <c r="P234" t="str">
        <f>IF(Tabela1[[#This Row],[Novo_Avaliador]]=Tabela1[[#This Row],[Avaliador]],"Sim","Não")</f>
        <v>Sim</v>
      </c>
      <c r="Q234" t="b">
        <f>Tabela1[[#This Row],[email_repres]]=Tabela1[[#This Row],[e-mail novo avaliador]]</f>
        <v>1</v>
      </c>
    </row>
    <row r="235" spans="1:17" x14ac:dyDescent="0.25">
      <c r="A235" t="s">
        <v>325</v>
      </c>
      <c r="B235" t="s">
        <v>164</v>
      </c>
      <c r="C235" t="s">
        <v>248</v>
      </c>
      <c r="D235" t="s">
        <v>303</v>
      </c>
      <c r="E235" s="2" t="str">
        <f>VLOOKUP(Tabela1[[#This Row],[Avaliador]],Usuários!A:I,COLUMN($H$1),0)</f>
        <v>pierre.marinho</v>
      </c>
      <c r="F235" s="2" t="str">
        <f>VLOOKUP(Tabela1[[#This Row],[Avaliador]],Usuários!$A:$I,COLUMN($I$1),0)</f>
        <v>063pm!@</v>
      </c>
      <c r="G235" s="2" t="str">
        <f>VLOOKUP(Tabela1[[#This Row],[Participante]],Usuários!$A:$I,COLUMN($H$1),0)</f>
        <v>bruno.lustosa</v>
      </c>
      <c r="H235" s="2" t="str">
        <f>VLOOKUP(Tabela1[[#This Row],[Participante]],Usuários!$A:$I,COLUMN($I$1),0)</f>
        <v>182bl!@</v>
      </c>
      <c r="I235" s="1" t="s">
        <v>16</v>
      </c>
      <c r="J235" s="1" t="s">
        <v>16</v>
      </c>
      <c r="K235" t="s">
        <v>248</v>
      </c>
      <c r="L235" t="s">
        <v>309</v>
      </c>
      <c r="M235" t="str">
        <f>IF(Tabela1[[#This Row],[Tipo_aval]]="auto","Ok",IF(ISERROR(VLOOKUP(Tabela1[[#This Row],[Participante]],Atualização!$B:$B,1,FALSE)),"Ok","Atualizar"))</f>
        <v>Ok</v>
      </c>
      <c r="N23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5" t="str">
        <f>IF(IFERROR(VLOOKUP(Tabela1[[#This Row],[Novo_Avaliador]],Usuários!$A:$B,2,FALSE),"")="","",IFERROR(VLOOKUP(Tabela1[[#This Row],[Novo_Avaliador]],Usuários!$A:$B,2,FALSE),""))</f>
        <v>pierre.marinho@enind.com.br</v>
      </c>
      <c r="P235" t="str">
        <f>IF(Tabela1[[#This Row],[Novo_Avaliador]]=Tabela1[[#This Row],[Avaliador]],"Sim","Não")</f>
        <v>Sim</v>
      </c>
      <c r="Q235" t="b">
        <f>Tabela1[[#This Row],[email_repres]]=Tabela1[[#This Row],[e-mail novo avaliador]]</f>
        <v>1</v>
      </c>
    </row>
    <row r="236" spans="1:17" x14ac:dyDescent="0.25">
      <c r="A236" t="s">
        <v>326</v>
      </c>
      <c r="B236" t="s">
        <v>164</v>
      </c>
      <c r="C236" t="s">
        <v>248</v>
      </c>
      <c r="D236" t="s">
        <v>303</v>
      </c>
      <c r="E236" s="2" t="str">
        <f>VLOOKUP(Tabela1[[#This Row],[Avaliador]],Usuários!A:I,COLUMN($H$1),0)</f>
        <v>pierre.marinho</v>
      </c>
      <c r="F236" s="2" t="str">
        <f>VLOOKUP(Tabela1[[#This Row],[Avaliador]],Usuários!$A:$I,COLUMN($I$1),0)</f>
        <v>063pm!@</v>
      </c>
      <c r="G236" s="2" t="str">
        <f>VLOOKUP(Tabela1[[#This Row],[Participante]],Usuários!$A:$I,COLUMN($H$1),0)</f>
        <v>cleiton.mathias</v>
      </c>
      <c r="H236" s="2" t="str">
        <f>VLOOKUP(Tabela1[[#This Row],[Participante]],Usuários!$A:$I,COLUMN($I$1),0)</f>
        <v>001cm!@</v>
      </c>
      <c r="I236" s="1" t="s">
        <v>16</v>
      </c>
      <c r="J236" s="1" t="s">
        <v>16</v>
      </c>
      <c r="K236" t="s">
        <v>248</v>
      </c>
      <c r="L236" t="s">
        <v>307</v>
      </c>
      <c r="M236" t="str">
        <f>IF(Tabela1[[#This Row],[Tipo_aval]]="auto","Ok",IF(ISERROR(VLOOKUP(Tabela1[[#This Row],[Participante]],Atualização!$B:$B,1,FALSE)),"Ok","Atualizar"))</f>
        <v>Ok</v>
      </c>
      <c r="N23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6" t="str">
        <f>IF(IFERROR(VLOOKUP(Tabela1[[#This Row],[Novo_Avaliador]],Usuários!$A:$B,2,FALSE),"")="","",IFERROR(VLOOKUP(Tabela1[[#This Row],[Novo_Avaliador]],Usuários!$A:$B,2,FALSE),""))</f>
        <v>pierre.marinho@enind.com.br</v>
      </c>
      <c r="P236" t="str">
        <f>IF(Tabela1[[#This Row],[Novo_Avaliador]]=Tabela1[[#This Row],[Avaliador]],"Sim","Não")</f>
        <v>Sim</v>
      </c>
      <c r="Q236" t="b">
        <f>Tabela1[[#This Row],[email_repres]]=Tabela1[[#This Row],[e-mail novo avaliador]]</f>
        <v>1</v>
      </c>
    </row>
    <row r="237" spans="1:17" x14ac:dyDescent="0.25">
      <c r="A237" t="s">
        <v>327</v>
      </c>
      <c r="B237" t="s">
        <v>164</v>
      </c>
      <c r="C237" t="s">
        <v>248</v>
      </c>
      <c r="D237" t="s">
        <v>303</v>
      </c>
      <c r="E237" s="2" t="str">
        <f>VLOOKUP(Tabela1[[#This Row],[Avaliador]],Usuários!A:I,COLUMN($H$1),0)</f>
        <v>pierre.marinho</v>
      </c>
      <c r="F237" s="2" t="str">
        <f>VLOOKUP(Tabela1[[#This Row],[Avaliador]],Usuários!$A:$I,COLUMN($I$1),0)</f>
        <v>063pm!@</v>
      </c>
      <c r="G237" s="2" t="str">
        <f>VLOOKUP(Tabela1[[#This Row],[Participante]],Usuários!$A:$I,COLUMN($H$1),0)</f>
        <v>daniel.casari</v>
      </c>
      <c r="H237" s="2" t="str">
        <f>VLOOKUP(Tabela1[[#This Row],[Participante]],Usuários!$A:$I,COLUMN($I$1),0)</f>
        <v>379dc!@</v>
      </c>
      <c r="I237" s="1" t="s">
        <v>16</v>
      </c>
      <c r="J237" s="1" t="s">
        <v>16</v>
      </c>
      <c r="K237" t="s">
        <v>248</v>
      </c>
      <c r="L237" t="s">
        <v>309</v>
      </c>
      <c r="M237" t="str">
        <f>IF(Tabela1[[#This Row],[Tipo_aval]]="auto","Ok",IF(ISERROR(VLOOKUP(Tabela1[[#This Row],[Participante]],Atualização!$B:$B,1,FALSE)),"Ok","Atualizar"))</f>
        <v>Ok</v>
      </c>
      <c r="N23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7" t="str">
        <f>IF(IFERROR(VLOOKUP(Tabela1[[#This Row],[Novo_Avaliador]],Usuários!$A:$B,2,FALSE),"")="","",IFERROR(VLOOKUP(Tabela1[[#This Row],[Novo_Avaliador]],Usuários!$A:$B,2,FALSE),""))</f>
        <v>pierre.marinho@enind.com.br</v>
      </c>
      <c r="P237" t="str">
        <f>IF(Tabela1[[#This Row],[Novo_Avaliador]]=Tabela1[[#This Row],[Avaliador]],"Sim","Não")</f>
        <v>Sim</v>
      </c>
      <c r="Q237" t="b">
        <f>Tabela1[[#This Row],[email_repres]]=Tabela1[[#This Row],[e-mail novo avaliador]]</f>
        <v>1</v>
      </c>
    </row>
    <row r="238" spans="1:17" x14ac:dyDescent="0.25">
      <c r="A238" t="s">
        <v>332</v>
      </c>
      <c r="B238" t="s">
        <v>164</v>
      </c>
      <c r="C238" t="s">
        <v>248</v>
      </c>
      <c r="D238" t="s">
        <v>303</v>
      </c>
      <c r="E238" s="2" t="str">
        <f>VLOOKUP(Tabela1[[#This Row],[Avaliador]],Usuários!A:I,COLUMN($H$1),0)</f>
        <v>pierre.marinho</v>
      </c>
      <c r="F238" s="2" t="str">
        <f>VLOOKUP(Tabela1[[#This Row],[Avaliador]],Usuários!$A:$I,COLUMN($I$1),0)</f>
        <v>063pm!@</v>
      </c>
      <c r="G238" s="2" t="str">
        <f>VLOOKUP(Tabela1[[#This Row],[Participante]],Usuários!$A:$I,COLUMN($H$1),0)</f>
        <v>ieza.amaral</v>
      </c>
      <c r="H238" s="2" t="str">
        <f>VLOOKUP(Tabela1[[#This Row],[Participante]],Usuários!$A:$I,COLUMN($I$1),0)</f>
        <v>057ia!@</v>
      </c>
      <c r="I238" s="1" t="s">
        <v>16</v>
      </c>
      <c r="J238" s="1" t="s">
        <v>16</v>
      </c>
      <c r="K238" t="s">
        <v>248</v>
      </c>
      <c r="L238" t="s">
        <v>307</v>
      </c>
      <c r="M238" t="str">
        <f>IF(Tabela1[[#This Row],[Tipo_aval]]="auto","Ok",IF(ISERROR(VLOOKUP(Tabela1[[#This Row],[Participante]],Atualização!$B:$B,1,FALSE)),"Ok","Atualizar"))</f>
        <v>Ok</v>
      </c>
      <c r="N23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8" t="str">
        <f>IF(IFERROR(VLOOKUP(Tabela1[[#This Row],[Novo_Avaliador]],Usuários!$A:$B,2,FALSE),"")="","",IFERROR(VLOOKUP(Tabela1[[#This Row],[Novo_Avaliador]],Usuários!$A:$B,2,FALSE),""))</f>
        <v>pierre.marinho@enind.com.br</v>
      </c>
      <c r="P238" t="str">
        <f>IF(Tabela1[[#This Row],[Novo_Avaliador]]=Tabela1[[#This Row],[Avaliador]],"Sim","Não")</f>
        <v>Sim</v>
      </c>
      <c r="Q238" t="b">
        <f>Tabela1[[#This Row],[email_repres]]=Tabela1[[#This Row],[e-mail novo avaliador]]</f>
        <v>1</v>
      </c>
    </row>
    <row r="239" spans="1:17" x14ac:dyDescent="0.25">
      <c r="A239" t="s">
        <v>338</v>
      </c>
      <c r="B239" t="s">
        <v>164</v>
      </c>
      <c r="C239" t="s">
        <v>248</v>
      </c>
      <c r="D239" t="s">
        <v>303</v>
      </c>
      <c r="E239" s="2" t="str">
        <f>VLOOKUP(Tabela1[[#This Row],[Avaliador]],Usuários!A:I,COLUMN($H$1),0)</f>
        <v>pierre.marinho</v>
      </c>
      <c r="F239" s="2" t="str">
        <f>VLOOKUP(Tabela1[[#This Row],[Avaliador]],Usuários!$A:$I,COLUMN($I$1),0)</f>
        <v>063pm!@</v>
      </c>
      <c r="G239" s="2" t="str">
        <f>VLOOKUP(Tabela1[[#This Row],[Participante]],Usuários!$A:$I,COLUMN($H$1),0)</f>
        <v>marcelo.santos</v>
      </c>
      <c r="H239" s="2" t="str">
        <f>VLOOKUP(Tabela1[[#This Row],[Participante]],Usuários!$A:$I,COLUMN($I$1),0)</f>
        <v>020ms!@</v>
      </c>
      <c r="I239" s="1" t="s">
        <v>16</v>
      </c>
      <c r="J239" s="1" t="s">
        <v>16</v>
      </c>
      <c r="K239" t="s">
        <v>248</v>
      </c>
      <c r="L239" t="s">
        <v>307</v>
      </c>
      <c r="M239" t="str">
        <f>IF(Tabela1[[#This Row],[Tipo_aval]]="auto","Ok",IF(ISERROR(VLOOKUP(Tabela1[[#This Row],[Participante]],Atualização!$B:$B,1,FALSE)),"Ok","Atualizar"))</f>
        <v>Ok</v>
      </c>
      <c r="N23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39" t="str">
        <f>IF(IFERROR(VLOOKUP(Tabela1[[#This Row],[Novo_Avaliador]],Usuários!$A:$B,2,FALSE),"")="","",IFERROR(VLOOKUP(Tabela1[[#This Row],[Novo_Avaliador]],Usuários!$A:$B,2,FALSE),""))</f>
        <v>pierre.marinho@enind.com.br</v>
      </c>
      <c r="P239" t="str">
        <f>IF(Tabela1[[#This Row],[Novo_Avaliador]]=Tabela1[[#This Row],[Avaliador]],"Sim","Não")</f>
        <v>Sim</v>
      </c>
      <c r="Q239" t="b">
        <f>Tabela1[[#This Row],[email_repres]]=Tabela1[[#This Row],[e-mail novo avaliador]]</f>
        <v>1</v>
      </c>
    </row>
    <row r="240" spans="1:17" x14ac:dyDescent="0.25">
      <c r="A240" t="s">
        <v>342</v>
      </c>
      <c r="B240" t="s">
        <v>164</v>
      </c>
      <c r="C240" t="s">
        <v>248</v>
      </c>
      <c r="D240" t="s">
        <v>303</v>
      </c>
      <c r="E240" s="2" t="str">
        <f>VLOOKUP(Tabela1[[#This Row],[Avaliador]],Usuários!A:I,COLUMN($H$1),0)</f>
        <v>pierre.marinho</v>
      </c>
      <c r="F240" s="2" t="str">
        <f>VLOOKUP(Tabela1[[#This Row],[Avaliador]],Usuários!$A:$I,COLUMN($I$1),0)</f>
        <v>063pm!@</v>
      </c>
      <c r="G240" s="2" t="str">
        <f>VLOOKUP(Tabela1[[#This Row],[Participante]],Usuários!$A:$I,COLUMN($H$1),0)</f>
        <v>mariana.moreira</v>
      </c>
      <c r="H240" s="2" t="str">
        <f>VLOOKUP(Tabela1[[#This Row],[Participante]],Usuários!$A:$I,COLUMN($I$1),0)</f>
        <v>808mm!@</v>
      </c>
      <c r="I240" s="1" t="s">
        <v>16</v>
      </c>
      <c r="J240" s="1" t="s">
        <v>16</v>
      </c>
      <c r="K240" t="s">
        <v>248</v>
      </c>
      <c r="L240" t="s">
        <v>307</v>
      </c>
      <c r="M240" t="str">
        <f>IF(Tabela1[[#This Row],[Tipo_aval]]="auto","Ok",IF(ISERROR(VLOOKUP(Tabela1[[#This Row],[Participante]],Atualização!$B:$B,1,FALSE)),"Ok","Atualizar"))</f>
        <v>Ok</v>
      </c>
      <c r="N24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40" t="str">
        <f>IF(IFERROR(VLOOKUP(Tabela1[[#This Row],[Novo_Avaliador]],Usuários!$A:$B,2,FALSE),"")="","",IFERROR(VLOOKUP(Tabela1[[#This Row],[Novo_Avaliador]],Usuários!$A:$B,2,FALSE),""))</f>
        <v>pierre.marinho@enind.com.br</v>
      </c>
      <c r="P240" t="str">
        <f>IF(Tabela1[[#This Row],[Novo_Avaliador]]=Tabela1[[#This Row],[Avaliador]],"Sim","Não")</f>
        <v>Sim</v>
      </c>
      <c r="Q240" t="b">
        <f>Tabela1[[#This Row],[email_repres]]=Tabela1[[#This Row],[e-mail novo avaliador]]</f>
        <v>1</v>
      </c>
    </row>
    <row r="241" spans="1:17" x14ac:dyDescent="0.25">
      <c r="A241" t="s">
        <v>350</v>
      </c>
      <c r="B241" t="s">
        <v>164</v>
      </c>
      <c r="C241" t="s">
        <v>248</v>
      </c>
      <c r="D241" t="s">
        <v>303</v>
      </c>
      <c r="E241" s="2" t="str">
        <f>VLOOKUP(Tabela1[[#This Row],[Avaliador]],Usuários!A:I,COLUMN($H$1),0)</f>
        <v>pierre.marinho</v>
      </c>
      <c r="F241" s="2" t="str">
        <f>VLOOKUP(Tabela1[[#This Row],[Avaliador]],Usuários!$A:$I,COLUMN($I$1),0)</f>
        <v>063pm!@</v>
      </c>
      <c r="G241" s="2" t="str">
        <f>VLOOKUP(Tabela1[[#This Row],[Participante]],Usuários!$A:$I,COLUMN($H$1),0)</f>
        <v>sergio.porto</v>
      </c>
      <c r="H241" s="2" t="str">
        <f>VLOOKUP(Tabela1[[#This Row],[Participante]],Usuários!$A:$I,COLUMN($I$1),0)</f>
        <v>334sp!@</v>
      </c>
      <c r="I241" s="1" t="s">
        <v>16</v>
      </c>
      <c r="J241" s="1" t="s">
        <v>16</v>
      </c>
      <c r="K241" t="s">
        <v>248</v>
      </c>
      <c r="L241" t="s">
        <v>307</v>
      </c>
      <c r="M241" t="str">
        <f>IF(Tabela1[[#This Row],[Tipo_aval]]="auto","Ok",IF(ISERROR(VLOOKUP(Tabela1[[#This Row],[Participante]],Atualização!$B:$B,1,FALSE)),"Ok","Atualizar"))</f>
        <v>Ok</v>
      </c>
      <c r="N24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41" t="str">
        <f>IF(IFERROR(VLOOKUP(Tabela1[[#This Row],[Novo_Avaliador]],Usuários!$A:$B,2,FALSE),"")="","",IFERROR(VLOOKUP(Tabela1[[#This Row],[Novo_Avaliador]],Usuários!$A:$B,2,FALSE),""))</f>
        <v>pierre.marinho@enind.com.br</v>
      </c>
      <c r="P241" t="str">
        <f>IF(Tabela1[[#This Row],[Novo_Avaliador]]=Tabela1[[#This Row],[Avaliador]],"Sim","Não")</f>
        <v>Sim</v>
      </c>
      <c r="Q241" t="b">
        <f>Tabela1[[#This Row],[email_repres]]=Tabela1[[#This Row],[e-mail novo avaliador]]</f>
        <v>1</v>
      </c>
    </row>
    <row r="242" spans="1:17" x14ac:dyDescent="0.25">
      <c r="A242" t="s">
        <v>351</v>
      </c>
      <c r="B242" t="s">
        <v>164</v>
      </c>
      <c r="C242" t="s">
        <v>248</v>
      </c>
      <c r="D242" t="s">
        <v>303</v>
      </c>
      <c r="E242" s="2" t="str">
        <f>VLOOKUP(Tabela1[[#This Row],[Avaliador]],Usuários!A:I,COLUMN($H$1),0)</f>
        <v>pierre.marinho</v>
      </c>
      <c r="F242" s="2" t="str">
        <f>VLOOKUP(Tabela1[[#This Row],[Avaliador]],Usuários!$A:$I,COLUMN($I$1),0)</f>
        <v>063pm!@</v>
      </c>
      <c r="G242" s="2" t="str">
        <f>VLOOKUP(Tabela1[[#This Row],[Participante]],Usuários!$A:$I,COLUMN($H$1),0)</f>
        <v>thais.oliveira</v>
      </c>
      <c r="H242" s="2" t="str">
        <f>VLOOKUP(Tabela1[[#This Row],[Participante]],Usuários!$A:$I,COLUMN($I$1),0)</f>
        <v>681to!@</v>
      </c>
      <c r="I242" s="1" t="s">
        <v>16</v>
      </c>
      <c r="J242" s="1" t="s">
        <v>16</v>
      </c>
      <c r="K242" t="s">
        <v>248</v>
      </c>
      <c r="L242" t="s">
        <v>307</v>
      </c>
      <c r="M242" t="str">
        <f>IF(Tabela1[[#This Row],[Tipo_aval]]="auto","Ok",IF(ISERROR(VLOOKUP(Tabela1[[#This Row],[Participante]],Atualização!$B:$B,1,FALSE)),"Ok","Atualizar"))</f>
        <v>Ok</v>
      </c>
      <c r="N24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42" t="str">
        <f>IF(IFERROR(VLOOKUP(Tabela1[[#This Row],[Novo_Avaliador]],Usuários!$A:$B,2,FALSE),"")="","",IFERROR(VLOOKUP(Tabela1[[#This Row],[Novo_Avaliador]],Usuários!$A:$B,2,FALSE),""))</f>
        <v>pierre.marinho@enind.com.br</v>
      </c>
      <c r="P242" t="str">
        <f>IF(Tabela1[[#This Row],[Novo_Avaliador]]=Tabela1[[#This Row],[Avaliador]],"Sim","Não")</f>
        <v>Sim</v>
      </c>
      <c r="Q242" t="b">
        <f>Tabela1[[#This Row],[email_repres]]=Tabela1[[#This Row],[e-mail novo avaliador]]</f>
        <v>1</v>
      </c>
    </row>
    <row r="243" spans="1:17" x14ac:dyDescent="0.25">
      <c r="A243" t="s">
        <v>353</v>
      </c>
      <c r="B243" t="s">
        <v>164</v>
      </c>
      <c r="C243" t="s">
        <v>248</v>
      </c>
      <c r="D243" t="s">
        <v>303</v>
      </c>
      <c r="E243" s="2" t="str">
        <f>VLOOKUP(Tabela1[[#This Row],[Avaliador]],Usuários!A:I,COLUMN($H$1),0)</f>
        <v>pierre.marinho</v>
      </c>
      <c r="F243" s="2" t="str">
        <f>VLOOKUP(Tabela1[[#This Row],[Avaliador]],Usuários!$A:$I,COLUMN($I$1),0)</f>
        <v>063pm!@</v>
      </c>
      <c r="G243" s="2" t="str">
        <f>VLOOKUP(Tabela1[[#This Row],[Participante]],Usuários!$A:$I,COLUMN($H$1),0)</f>
        <v>wagner.barreiro</v>
      </c>
      <c r="H243" s="2" t="str">
        <f>VLOOKUP(Tabela1[[#This Row],[Participante]],Usuários!$A:$I,COLUMN($I$1),0)</f>
        <v>028wb!@</v>
      </c>
      <c r="I243" s="1" t="s">
        <v>16</v>
      </c>
      <c r="J243" s="1" t="s">
        <v>16</v>
      </c>
      <c r="K243" t="s">
        <v>248</v>
      </c>
      <c r="L243" t="s">
        <v>307</v>
      </c>
      <c r="M243" t="str">
        <f>IF(Tabela1[[#This Row],[Tipo_aval]]="auto","Ok",IF(ISERROR(VLOOKUP(Tabela1[[#This Row],[Participante]],Atualização!$B:$B,1,FALSE)),"Ok","Atualizar"))</f>
        <v>Ok</v>
      </c>
      <c r="N24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243" t="str">
        <f>IF(IFERROR(VLOOKUP(Tabela1[[#This Row],[Novo_Avaliador]],Usuários!$A:$B,2,FALSE),"")="","",IFERROR(VLOOKUP(Tabela1[[#This Row],[Novo_Avaliador]],Usuários!$A:$B,2,FALSE),""))</f>
        <v>pierre.marinho@enind.com.br</v>
      </c>
      <c r="P243" t="str">
        <f>IF(Tabela1[[#This Row],[Novo_Avaliador]]=Tabela1[[#This Row],[Avaliador]],"Sim","Não")</f>
        <v>Sim</v>
      </c>
      <c r="Q243" t="b">
        <f>Tabela1[[#This Row],[email_repres]]=Tabela1[[#This Row],[e-mail novo avaliador]]</f>
        <v>1</v>
      </c>
    </row>
    <row r="244" spans="1:17" x14ac:dyDescent="0.25">
      <c r="A244" s="2" t="s">
        <v>155</v>
      </c>
      <c r="B244" s="2" t="s">
        <v>155</v>
      </c>
      <c r="C244" s="2" t="s">
        <v>250</v>
      </c>
      <c r="D244" s="2" t="s">
        <v>295</v>
      </c>
      <c r="E244" s="2" t="str">
        <f>VLOOKUP(Tabela1[[#This Row],[Avaliador]],Usuários!A:I,COLUMN($H$1),0)</f>
        <v>rafael.araujo</v>
      </c>
      <c r="F244" s="2" t="str">
        <f>VLOOKUP(Tabela1[[#This Row],[Avaliador]],Usuários!$A:$I,COLUMN($I$1),0)</f>
        <v>804ra!@</v>
      </c>
      <c r="G244" s="2" t="str">
        <f>VLOOKUP(Tabela1[[#This Row],[Participante]],Usuários!$A:$I,COLUMN($H$1),0)</f>
        <v>rafael.araujo</v>
      </c>
      <c r="H244" s="2" t="str">
        <f>VLOOKUP(Tabela1[[#This Row],[Participante]],Usuários!$A:$I,COLUMN($I$1),0)</f>
        <v>804ra!@</v>
      </c>
      <c r="I244" s="1" t="s">
        <v>6</v>
      </c>
      <c r="J244" s="1" t="s">
        <v>16</v>
      </c>
      <c r="K244" t="s">
        <v>250</v>
      </c>
      <c r="L244" t="s">
        <v>307</v>
      </c>
      <c r="M244" t="str">
        <f>IF(Tabela1[[#This Row],[Tipo_aval]]="auto","Ok",IF(ISERROR(VLOOKUP(Tabela1[[#This Row],[Participante]],Atualização!$B:$B,1,FALSE)),"Ok","Atualizar"))</f>
        <v>Ok</v>
      </c>
      <c r="N24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Rafael Moura Araujo</v>
      </c>
      <c r="O244" t="str">
        <f>IF(IFERROR(VLOOKUP(Tabela1[[#This Row],[Novo_Avaliador]],Usuários!$A:$B,2,FALSE),"")="","",IFERROR(VLOOKUP(Tabela1[[#This Row],[Novo_Avaliador]],Usuários!$A:$B,2,FALSE),""))</f>
        <v>rafael.araujo@enind.com.br</v>
      </c>
      <c r="P244" t="str">
        <f>IF(Tabela1[[#This Row],[Novo_Avaliador]]=Tabela1[[#This Row],[Avaliador]],"Sim","Não")</f>
        <v>Sim</v>
      </c>
      <c r="Q244" t="b">
        <f>Tabela1[[#This Row],[email_repres]]=Tabela1[[#This Row],[e-mail novo avaliador]]</f>
        <v>1</v>
      </c>
    </row>
    <row r="245" spans="1:17" x14ac:dyDescent="0.25">
      <c r="A245" t="s">
        <v>324</v>
      </c>
      <c r="B245" t="s">
        <v>155</v>
      </c>
      <c r="C245" t="s">
        <v>250</v>
      </c>
      <c r="D245" t="s">
        <v>297</v>
      </c>
      <c r="E245" s="2" t="str">
        <f>VLOOKUP(Tabela1[[#This Row],[Avaliador]],Usuários!A:I,COLUMN($H$1),0)</f>
        <v>rafael.araujo</v>
      </c>
      <c r="F245" s="2" t="str">
        <f>VLOOKUP(Tabela1[[#This Row],[Avaliador]],Usuários!$A:$I,COLUMN($I$1),0)</f>
        <v>804ra!@</v>
      </c>
      <c r="G245" s="2" t="str">
        <f>VLOOKUP(Tabela1[[#This Row],[Participante]],Usuários!$A:$I,COLUMN($H$1),0)</f>
        <v>brendhel.silva</v>
      </c>
      <c r="H245" s="2" t="str">
        <f>VLOOKUP(Tabela1[[#This Row],[Participante]],Usuários!$A:$I,COLUMN($I$1),0)</f>
        <v>338bs!@</v>
      </c>
      <c r="I245" s="1" t="s">
        <v>16</v>
      </c>
      <c r="J245" s="1" t="s">
        <v>16</v>
      </c>
      <c r="K245" t="s">
        <v>250</v>
      </c>
      <c r="L245" t="s">
        <v>307</v>
      </c>
      <c r="M245" t="str">
        <f>IF(Tabela1[[#This Row],[Tipo_aval]]="auto","Ok",IF(ISERROR(VLOOKUP(Tabela1[[#This Row],[Participante]],Atualização!$B:$B,1,FALSE)),"Ok","Atualizar"))</f>
        <v>Ok</v>
      </c>
      <c r="N24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Rafael Moura Araujo</v>
      </c>
      <c r="O245" t="str">
        <f>IF(IFERROR(VLOOKUP(Tabela1[[#This Row],[Novo_Avaliador]],Usuários!$A:$B,2,FALSE),"")="","",IFERROR(VLOOKUP(Tabela1[[#This Row],[Novo_Avaliador]],Usuários!$A:$B,2,FALSE),""))</f>
        <v>rafael.araujo@enind.com.br</v>
      </c>
      <c r="P245" t="str">
        <f>IF(Tabela1[[#This Row],[Novo_Avaliador]]=Tabela1[[#This Row],[Avaliador]],"Sim","Não")</f>
        <v>Sim</v>
      </c>
      <c r="Q245" t="b">
        <f>Tabela1[[#This Row],[email_repres]]=Tabela1[[#This Row],[e-mail novo avaliador]]</f>
        <v>1</v>
      </c>
    </row>
    <row r="246" spans="1:17" x14ac:dyDescent="0.25">
      <c r="A246" t="s">
        <v>347</v>
      </c>
      <c r="B246" t="s">
        <v>347</v>
      </c>
      <c r="C246" t="s">
        <v>384</v>
      </c>
      <c r="D246" t="s">
        <v>295</v>
      </c>
      <c r="E246" s="2" t="str">
        <f>VLOOKUP(Tabela1[[#This Row],[Avaliador]],Usuários!A:I,COLUMN($H$1),0)</f>
        <v>rebeca.porto</v>
      </c>
      <c r="F246" s="2" t="str">
        <f>VLOOKUP(Tabela1[[#This Row],[Avaliador]],Usuários!$A:$I,COLUMN($I$1),0)</f>
        <v>166rp!@</v>
      </c>
      <c r="G246" s="2" t="str">
        <f>VLOOKUP(Tabela1[[#This Row],[Participante]],Usuários!$A:$I,COLUMN($H$1),0)</f>
        <v>rebeca.porto</v>
      </c>
      <c r="H246" s="2" t="str">
        <f>VLOOKUP(Tabela1[[#This Row],[Participante]],Usuários!$A:$I,COLUMN($I$1),0)</f>
        <v>166rp!@</v>
      </c>
      <c r="I246" s="1" t="s">
        <v>6</v>
      </c>
      <c r="J246" s="1" t="s">
        <v>16</v>
      </c>
      <c r="K246" t="s">
        <v>384</v>
      </c>
      <c r="L246" t="s">
        <v>307</v>
      </c>
      <c r="M246" t="str">
        <f>IF(Tabela1[[#This Row],[Tipo_aval]]="auto","Ok",IF(ISERROR(VLOOKUP(Tabela1[[#This Row],[Participante]],Atualização!$B:$B,1,FALSE)),"Ok","Atualizar"))</f>
        <v>Ok</v>
      </c>
      <c r="N24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Rebeca Oliveira Porto</v>
      </c>
      <c r="O246" t="str">
        <f>IF(IFERROR(VLOOKUP(Tabela1[[#This Row],[Novo_Avaliador]],Usuários!$A:$B,2,FALSE),"")="","",IFERROR(VLOOKUP(Tabela1[[#This Row],[Novo_Avaliador]],Usuários!$A:$B,2,FALSE),""))</f>
        <v>rebeca.porto@enind.com.br</v>
      </c>
      <c r="P246" t="str">
        <f>IF(Tabela1[[#This Row],[Novo_Avaliador]]=Tabela1[[#This Row],[Avaliador]],"Sim","Não")</f>
        <v>Sim</v>
      </c>
      <c r="Q246" t="b">
        <f>Tabela1[[#This Row],[email_repres]]=Tabela1[[#This Row],[e-mail novo avaliador]]</f>
        <v>1</v>
      </c>
    </row>
    <row r="247" spans="1:17" x14ac:dyDescent="0.25">
      <c r="A247" t="s">
        <v>251</v>
      </c>
      <c r="B247" t="s">
        <v>251</v>
      </c>
      <c r="C247" t="s">
        <v>252</v>
      </c>
      <c r="D247" t="s">
        <v>295</v>
      </c>
      <c r="E247" s="2" t="str">
        <f>VLOOKUP(Tabela1[[#This Row],[Avaliador]],Usuários!A:I,COLUMN($H$1),0)</f>
        <v>renan.cunha</v>
      </c>
      <c r="F247" s="2" t="str">
        <f>VLOOKUP(Tabela1[[#This Row],[Avaliador]],Usuários!$A:$I,COLUMN($I$1),0)</f>
        <v>297rc!@</v>
      </c>
      <c r="G247" s="2" t="str">
        <f>VLOOKUP(Tabela1[[#This Row],[Participante]],Usuários!$A:$I,COLUMN($H$1),0)</f>
        <v>renan.cunha</v>
      </c>
      <c r="H247" s="2" t="str">
        <f>VLOOKUP(Tabela1[[#This Row],[Participante]],Usuários!$A:$I,COLUMN($I$1),0)</f>
        <v>297rc!@</v>
      </c>
      <c r="I247" s="1" t="s">
        <v>6</v>
      </c>
      <c r="J247" s="1" t="s">
        <v>16</v>
      </c>
      <c r="K247" t="s">
        <v>252</v>
      </c>
      <c r="L247" t="s">
        <v>307</v>
      </c>
      <c r="M247" t="str">
        <f>IF(Tabela1[[#This Row],[Tipo_aval]]="auto","Ok",IF(ISERROR(VLOOKUP(Tabela1[[#This Row],[Participante]],Atualização!$B:$B,1,FALSE)),"Ok","Atualizar"))</f>
        <v>Ok</v>
      </c>
      <c r="N24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Renan Vieira Cunha</v>
      </c>
      <c r="O247" t="str">
        <f>IF(IFERROR(VLOOKUP(Tabela1[[#This Row],[Novo_Avaliador]],Usuários!$A:$B,2,FALSE),"")="","",IFERROR(VLOOKUP(Tabela1[[#This Row],[Novo_Avaliador]],Usuários!$A:$B,2,FALSE),""))</f>
        <v>renan.cunha@enind.com.br</v>
      </c>
      <c r="P247" t="str">
        <f>IF(Tabela1[[#This Row],[Novo_Avaliador]]=Tabela1[[#This Row],[Avaliador]],"Sim","Não")</f>
        <v>Sim</v>
      </c>
      <c r="Q247" t="b">
        <f>Tabela1[[#This Row],[email_repres]]=Tabela1[[#This Row],[e-mail novo avaliador]]</f>
        <v>1</v>
      </c>
    </row>
    <row r="248" spans="1:17" x14ac:dyDescent="0.25">
      <c r="A248" t="s">
        <v>254</v>
      </c>
      <c r="B248" t="s">
        <v>254</v>
      </c>
      <c r="C248" t="s">
        <v>255</v>
      </c>
      <c r="D248" t="s">
        <v>295</v>
      </c>
      <c r="E248" s="2" t="str">
        <f>VLOOKUP(Tabela1[[#This Row],[Avaliador]],Usuários!A:I,COLUMN($H$1),0)</f>
        <v>rodolfo.moraes</v>
      </c>
      <c r="F248" s="2" t="str">
        <f>VLOOKUP(Tabela1[[#This Row],[Avaliador]],Usuários!$A:$I,COLUMN($I$1),0)</f>
        <v>129rm!@</v>
      </c>
      <c r="G248" s="2" t="str">
        <f>VLOOKUP(Tabela1[[#This Row],[Participante]],Usuários!$A:$I,COLUMN($H$1),0)</f>
        <v>rodolfo.moraes</v>
      </c>
      <c r="H248" s="2" t="str">
        <f>VLOOKUP(Tabela1[[#This Row],[Participante]],Usuários!$A:$I,COLUMN($I$1),0)</f>
        <v>129rm!@</v>
      </c>
      <c r="I248" s="1" t="s">
        <v>6</v>
      </c>
      <c r="J248" s="1" t="s">
        <v>16</v>
      </c>
      <c r="K248" t="s">
        <v>255</v>
      </c>
      <c r="L248" t="s">
        <v>309</v>
      </c>
      <c r="M248" t="str">
        <f>IF(Tabela1[[#This Row],[Tipo_aval]]="auto","Ok",IF(ISERROR(VLOOKUP(Tabela1[[#This Row],[Participante]],Atualização!$B:$B,1,FALSE)),"Ok","Atualizar"))</f>
        <v>Ok</v>
      </c>
      <c r="N24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Rodolfo Fontana Moraes</v>
      </c>
      <c r="O248" t="str">
        <f>IF(IFERROR(VLOOKUP(Tabela1[[#This Row],[Novo_Avaliador]],Usuários!$A:$B,2,FALSE),"")="","",IFERROR(VLOOKUP(Tabela1[[#This Row],[Novo_Avaliador]],Usuários!$A:$B,2,FALSE),""))</f>
        <v>rodolfo.moraes@enind.com.br</v>
      </c>
      <c r="P248" t="str">
        <f>IF(Tabela1[[#This Row],[Novo_Avaliador]]=Tabela1[[#This Row],[Avaliador]],"Sim","Não")</f>
        <v>Sim</v>
      </c>
      <c r="Q248" t="b">
        <f>Tabela1[[#This Row],[email_repres]]=Tabela1[[#This Row],[e-mail novo avaliador]]</f>
        <v>1</v>
      </c>
    </row>
    <row r="249" spans="1:17" x14ac:dyDescent="0.25">
      <c r="A249" t="s">
        <v>257</v>
      </c>
      <c r="B249" t="s">
        <v>24</v>
      </c>
      <c r="C249" t="s">
        <v>258</v>
      </c>
      <c r="D249" t="s">
        <v>303</v>
      </c>
      <c r="E249" s="2" t="str">
        <f>VLOOKUP(Tabela1[[#This Row],[Avaliador]],Usuários!A:I,COLUMN($H$1),0)</f>
        <v>rodrigo.moralez</v>
      </c>
      <c r="F249" s="2" t="str">
        <f>VLOOKUP(Tabela1[[#This Row],[Avaliador]],Usuários!$A:$I,COLUMN($I$1),0)</f>
        <v>414rm!@</v>
      </c>
      <c r="G249" s="2" t="str">
        <f>VLOOKUP(Tabela1[[#This Row],[Participante]],Usuários!$A:$I,COLUMN($H$1),0)</f>
        <v>weshiley.silva</v>
      </c>
      <c r="H249" s="2" t="str">
        <f>VLOOKUP(Tabela1[[#This Row],[Participante]],Usuários!$A:$I,COLUMN($I$1),0)</f>
        <v>799ws!@</v>
      </c>
      <c r="I249" s="1" t="s">
        <v>16</v>
      </c>
      <c r="J249" s="1" t="s">
        <v>16</v>
      </c>
      <c r="K249" t="str">
        <f>Tabela1[[#This Row],[Email]]</f>
        <v>rodrigo.moralez@enind.com.br</v>
      </c>
      <c r="L249" t="s">
        <v>309</v>
      </c>
      <c r="M249" t="str">
        <f>IF(Tabela1[[#This Row],[Tipo_aval]]="auto","Ok",IF(ISERROR(VLOOKUP(Tabela1[[#This Row],[Participante]],Atualização!$B:$B,1,FALSE)),"Ok","Atualizar"))</f>
        <v>Atualizar</v>
      </c>
      <c r="N24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49" t="str">
        <f>IF(IFERROR(VLOOKUP(Tabela1[[#This Row],[Novo_Avaliador]],Usuários!$A:$B,2,FALSE),"")="","",IFERROR(VLOOKUP(Tabela1[[#This Row],[Novo_Avaliador]],Usuários!$A:$B,2,FALSE),""))</f>
        <v>rodrigo.moralez@enind.com.br</v>
      </c>
      <c r="P249" t="str">
        <f>IF(Tabela1[[#This Row],[Novo_Avaliador]]=Tabela1[[#This Row],[Avaliador]],"Sim","Não")</f>
        <v>Sim</v>
      </c>
      <c r="Q249" t="b">
        <f>Tabela1[[#This Row],[email_repres]]=Tabela1[[#This Row],[e-mail novo avaliador]]</f>
        <v>1</v>
      </c>
    </row>
    <row r="250" spans="1:17" x14ac:dyDescent="0.25">
      <c r="A250" s="2" t="s">
        <v>19</v>
      </c>
      <c r="B250" s="2" t="s">
        <v>24</v>
      </c>
      <c r="C250" s="2" t="s">
        <v>258</v>
      </c>
      <c r="D250" s="2" t="s">
        <v>297</v>
      </c>
      <c r="E250" s="2" t="str">
        <f>VLOOKUP(Tabela1[[#This Row],[Avaliador]],Usuários!A:I,COLUMN($H$1),0)</f>
        <v>rodrigo.moralez</v>
      </c>
      <c r="F250" s="2" t="str">
        <f>VLOOKUP(Tabela1[[#This Row],[Avaliador]],Usuários!$A:$I,COLUMN($I$1),0)</f>
        <v>414rm!@</v>
      </c>
      <c r="G250" s="2" t="str">
        <f>VLOOKUP(Tabela1[[#This Row],[Participante]],Usuários!$A:$I,COLUMN($H$1),0)</f>
        <v>alessandra.tambellini</v>
      </c>
      <c r="H250" s="2" t="str">
        <f>VLOOKUP(Tabela1[[#This Row],[Participante]],Usuários!$A:$I,COLUMN($I$1),0)</f>
        <v>386at!@</v>
      </c>
      <c r="I250" s="1" t="s">
        <v>16</v>
      </c>
      <c r="J250" s="1" t="s">
        <v>16</v>
      </c>
      <c r="K250" t="str">
        <f>Tabela1[[#This Row],[Email]]</f>
        <v>rodrigo.moralez@enind.com.br</v>
      </c>
      <c r="L250" t="s">
        <v>307</v>
      </c>
      <c r="M250" t="str">
        <f>IF(Tabela1[[#This Row],[Tipo_aval]]="auto","Ok",IF(ISERROR(VLOOKUP(Tabela1[[#This Row],[Participante]],Atualização!$B:$B,1,FALSE)),"Ok","Atualizar"))</f>
        <v>Atualizar</v>
      </c>
      <c r="N25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0" t="str">
        <f>IF(IFERROR(VLOOKUP(Tabela1[[#This Row],[Novo_Avaliador]],Usuários!$A:$B,2,FALSE),"")="","",IFERROR(VLOOKUP(Tabela1[[#This Row],[Novo_Avaliador]],Usuários!$A:$B,2,FALSE),""))</f>
        <v>rodrigo.moralez@enind.com.br</v>
      </c>
      <c r="P250" t="str">
        <f>IF(Tabela1[[#This Row],[Novo_Avaliador]]=Tabela1[[#This Row],[Avaliador]],"Sim","Não")</f>
        <v>Sim</v>
      </c>
      <c r="Q250" t="b">
        <f>Tabela1[[#This Row],[email_repres]]=Tabela1[[#This Row],[e-mail novo avaliador]]</f>
        <v>1</v>
      </c>
    </row>
    <row r="251" spans="1:17" x14ac:dyDescent="0.25">
      <c r="A251" s="2" t="s">
        <v>159</v>
      </c>
      <c r="B251" s="2" t="s">
        <v>24</v>
      </c>
      <c r="C251" s="2" t="s">
        <v>258</v>
      </c>
      <c r="D251" s="2" t="s">
        <v>297</v>
      </c>
      <c r="E251" s="2" t="str">
        <f>VLOOKUP(Tabela1[[#This Row],[Avaliador]],Usuários!A:I,COLUMN($H$1),0)</f>
        <v>rodrigo.moralez</v>
      </c>
      <c r="F251" s="2" t="str">
        <f>VLOOKUP(Tabela1[[#This Row],[Avaliador]],Usuários!$A:$I,COLUMN($I$1),0)</f>
        <v>414rm!@</v>
      </c>
      <c r="G251" s="2" t="str">
        <f>VLOOKUP(Tabela1[[#This Row],[Participante]],Usuários!$A:$I,COLUMN($H$1),0)</f>
        <v>glaucia.pontes</v>
      </c>
      <c r="H251" s="2" t="str">
        <f>VLOOKUP(Tabela1[[#This Row],[Participante]],Usuários!$A:$I,COLUMN($I$1),0)</f>
        <v>493gp!@</v>
      </c>
      <c r="I251" s="1" t="s">
        <v>16</v>
      </c>
      <c r="J251" s="1" t="s">
        <v>16</v>
      </c>
      <c r="K251" t="str">
        <f>Tabela1[[#This Row],[Email]]</f>
        <v>rodrigo.moralez@enind.com.br</v>
      </c>
      <c r="L251" t="s">
        <v>307</v>
      </c>
      <c r="M251" t="str">
        <f>IF(Tabela1[[#This Row],[Tipo_aval]]="auto","Ok",IF(ISERROR(VLOOKUP(Tabela1[[#This Row],[Participante]],Atualização!$B:$B,1,FALSE)),"Ok","Atualizar"))</f>
        <v>Atualizar</v>
      </c>
      <c r="N25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1" t="str">
        <f>IF(IFERROR(VLOOKUP(Tabela1[[#This Row],[Novo_Avaliador]],Usuários!$A:$B,2,FALSE),"")="","",IFERROR(VLOOKUP(Tabela1[[#This Row],[Novo_Avaliador]],Usuários!$A:$B,2,FALSE),""))</f>
        <v>rodrigo.moralez@enind.com.br</v>
      </c>
      <c r="P251" t="str">
        <f>IF(Tabela1[[#This Row],[Novo_Avaliador]]=Tabela1[[#This Row],[Avaliador]],"Sim","Não")</f>
        <v>Sim</v>
      </c>
      <c r="Q251" t="b">
        <f>Tabela1[[#This Row],[email_repres]]=Tabela1[[#This Row],[e-mail novo avaliador]]</f>
        <v>1</v>
      </c>
    </row>
    <row r="252" spans="1:17" x14ac:dyDescent="0.25">
      <c r="A252" t="s">
        <v>18</v>
      </c>
      <c r="B252" t="s">
        <v>24</v>
      </c>
      <c r="C252" t="s">
        <v>258</v>
      </c>
      <c r="D252" t="s">
        <v>297</v>
      </c>
      <c r="E252" s="2" t="str">
        <f>VLOOKUP(Tabela1[[#This Row],[Avaliador]],Usuários!A:I,COLUMN($H$1),0)</f>
        <v>rodrigo.moralez</v>
      </c>
      <c r="F252" s="2" t="str">
        <f>VLOOKUP(Tabela1[[#This Row],[Avaliador]],Usuários!$A:$I,COLUMN($I$1),0)</f>
        <v>414rm!@</v>
      </c>
      <c r="G252" s="2" t="str">
        <f>VLOOKUP(Tabela1[[#This Row],[Participante]],Usuários!$A:$I,COLUMN($H$1),0)</f>
        <v>everton.bitencourt</v>
      </c>
      <c r="H252" s="2" t="str">
        <f>VLOOKUP(Tabela1[[#This Row],[Participante]],Usuários!$A:$I,COLUMN($I$1),0)</f>
        <v>566eb!@</v>
      </c>
      <c r="I252" s="1" t="s">
        <v>16</v>
      </c>
      <c r="J252" s="1" t="s">
        <v>16</v>
      </c>
      <c r="K252" t="s">
        <v>258</v>
      </c>
      <c r="L252" t="s">
        <v>309</v>
      </c>
      <c r="M252" t="str">
        <f>IF(Tabela1[[#This Row],[Tipo_aval]]="auto","Ok",IF(ISERROR(VLOOKUP(Tabela1[[#This Row],[Participante]],Atualização!$B:$B,1,FALSE)),"Ok","Atualizar"))</f>
        <v>Ok</v>
      </c>
      <c r="N25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2" t="str">
        <f>IF(IFERROR(VLOOKUP(Tabela1[[#This Row],[Novo_Avaliador]],Usuários!$A:$B,2,FALSE),"")="","",IFERROR(VLOOKUP(Tabela1[[#This Row],[Novo_Avaliador]],Usuários!$A:$B,2,FALSE),""))</f>
        <v>rodrigo.moralez@enind.com.br</v>
      </c>
      <c r="P252" t="str">
        <f>IF(Tabela1[[#This Row],[Novo_Avaliador]]=Tabela1[[#This Row],[Avaliador]],"Sim","Não")</f>
        <v>Sim</v>
      </c>
      <c r="Q252" t="b">
        <f>Tabela1[[#This Row],[email_repres]]=Tabela1[[#This Row],[e-mail novo avaliador]]</f>
        <v>1</v>
      </c>
    </row>
    <row r="253" spans="1:17" x14ac:dyDescent="0.25">
      <c r="A253" s="2" t="s">
        <v>147</v>
      </c>
      <c r="B253" s="2" t="s">
        <v>24</v>
      </c>
      <c r="C253" s="2" t="s">
        <v>258</v>
      </c>
      <c r="D253" s="2" t="s">
        <v>297</v>
      </c>
      <c r="E253" s="2" t="str">
        <f>VLOOKUP(Tabela1[[#This Row],[Avaliador]],Usuários!A:I,COLUMN($H$1),0)</f>
        <v>rodrigo.moralez</v>
      </c>
      <c r="F253" s="2" t="str">
        <f>VLOOKUP(Tabela1[[#This Row],[Avaliador]],Usuários!$A:$I,COLUMN($I$1),0)</f>
        <v>414rm!@</v>
      </c>
      <c r="G253" s="2" t="str">
        <f>VLOOKUP(Tabela1[[#This Row],[Participante]],Usuários!$A:$I,COLUMN($H$1),0)</f>
        <v>fernando.correa</v>
      </c>
      <c r="H253" s="2" t="str">
        <f>VLOOKUP(Tabela1[[#This Row],[Participante]],Usuários!$A:$I,COLUMN($I$1),0)</f>
        <v>968fc!@</v>
      </c>
      <c r="I253" s="1" t="s">
        <v>16</v>
      </c>
      <c r="J253" s="1" t="s">
        <v>16</v>
      </c>
      <c r="K253" t="s">
        <v>258</v>
      </c>
      <c r="L253" t="s">
        <v>309</v>
      </c>
      <c r="M253" t="str">
        <f>IF(Tabela1[[#This Row],[Tipo_aval]]="auto","Ok",IF(ISERROR(VLOOKUP(Tabela1[[#This Row],[Participante]],Atualização!$B:$B,1,FALSE)),"Ok","Atualizar"))</f>
        <v>Ok</v>
      </c>
      <c r="N25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3" t="str">
        <f>IF(IFERROR(VLOOKUP(Tabela1[[#This Row],[Novo_Avaliador]],Usuários!$A:$B,2,FALSE),"")="","",IFERROR(VLOOKUP(Tabela1[[#This Row],[Novo_Avaliador]],Usuários!$A:$B,2,FALSE),""))</f>
        <v>rodrigo.moralez@enind.com.br</v>
      </c>
      <c r="P253" t="str">
        <f>IF(Tabela1[[#This Row],[Novo_Avaliador]]=Tabela1[[#This Row],[Avaliador]],"Sim","Não")</f>
        <v>Sim</v>
      </c>
      <c r="Q253" t="b">
        <f>Tabela1[[#This Row],[email_repres]]=Tabela1[[#This Row],[e-mail novo avaliador]]</f>
        <v>1</v>
      </c>
    </row>
    <row r="254" spans="1:17" x14ac:dyDescent="0.25">
      <c r="A254" t="s">
        <v>17</v>
      </c>
      <c r="B254" t="s">
        <v>24</v>
      </c>
      <c r="C254" t="s">
        <v>258</v>
      </c>
      <c r="D254" t="s">
        <v>303</v>
      </c>
      <c r="E254" s="2" t="str">
        <f>VLOOKUP(Tabela1[[#This Row],[Avaliador]],Usuários!A:I,COLUMN($H$1),0)</f>
        <v>rodrigo.moralez</v>
      </c>
      <c r="F254" s="2" t="str">
        <f>VLOOKUP(Tabela1[[#This Row],[Avaliador]],Usuários!$A:$I,COLUMN($I$1),0)</f>
        <v>414rm!@</v>
      </c>
      <c r="G254" s="2" t="str">
        <f>VLOOKUP(Tabela1[[#This Row],[Participante]],Usuários!$A:$I,COLUMN($H$1),0)</f>
        <v>damiao.souza</v>
      </c>
      <c r="H254" s="2" t="str">
        <f>VLOOKUP(Tabela1[[#This Row],[Participante]],Usuários!$A:$I,COLUMN($I$1),0)</f>
        <v>505ds!@</v>
      </c>
      <c r="I254" s="1" t="s">
        <v>16</v>
      </c>
      <c r="J254" s="1" t="s">
        <v>16</v>
      </c>
      <c r="K254" t="s">
        <v>258</v>
      </c>
      <c r="L254" t="s">
        <v>308</v>
      </c>
      <c r="M254" t="str">
        <f>IF(Tabela1[[#This Row],[Tipo_aval]]="auto","Ok",IF(ISERROR(VLOOKUP(Tabela1[[#This Row],[Participante]],Atualização!$B:$B,1,FALSE)),"Ok","Atualizar"))</f>
        <v>Ok</v>
      </c>
      <c r="N25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4" t="str">
        <f>IF(IFERROR(VLOOKUP(Tabela1[[#This Row],[Novo_Avaliador]],Usuários!$A:$B,2,FALSE),"")="","",IFERROR(VLOOKUP(Tabela1[[#This Row],[Novo_Avaliador]],Usuários!$A:$B,2,FALSE),""))</f>
        <v>rodrigo.moralez@enind.com.br</v>
      </c>
      <c r="P254" t="str">
        <f>IF(Tabela1[[#This Row],[Novo_Avaliador]]=Tabela1[[#This Row],[Avaliador]],"Sim","Não")</f>
        <v>Sim</v>
      </c>
      <c r="Q254" t="b">
        <f>Tabela1[[#This Row],[email_repres]]=Tabela1[[#This Row],[e-mail novo avaliador]]</f>
        <v>1</v>
      </c>
    </row>
    <row r="255" spans="1:17" x14ac:dyDescent="0.25">
      <c r="A255" s="2" t="s">
        <v>141</v>
      </c>
      <c r="B255" s="2" t="s">
        <v>24</v>
      </c>
      <c r="C255" s="2" t="s">
        <v>258</v>
      </c>
      <c r="D255" s="2" t="s">
        <v>303</v>
      </c>
      <c r="E255" s="2" t="str">
        <f>VLOOKUP(Tabela1[[#This Row],[Avaliador]],Usuários!A:I,COLUMN($H$1),0)</f>
        <v>rodrigo.moralez</v>
      </c>
      <c r="F255" s="2" t="str">
        <f>VLOOKUP(Tabela1[[#This Row],[Avaliador]],Usuários!$A:$I,COLUMN($I$1),0)</f>
        <v>414rm!@</v>
      </c>
      <c r="G255" s="2" t="str">
        <f>VLOOKUP(Tabela1[[#This Row],[Participante]],Usuários!$A:$I,COLUMN($H$1),0)</f>
        <v>elias.gomes</v>
      </c>
      <c r="H255" s="2" t="str">
        <f>VLOOKUP(Tabela1[[#This Row],[Participante]],Usuários!$A:$I,COLUMN($I$1),0)</f>
        <v>752eg!@</v>
      </c>
      <c r="I255" s="1" t="s">
        <v>16</v>
      </c>
      <c r="J255" s="1" t="s">
        <v>16</v>
      </c>
      <c r="K255" t="s">
        <v>258</v>
      </c>
      <c r="L255" t="s">
        <v>307</v>
      </c>
      <c r="M255" t="str">
        <f>IF(Tabela1[[#This Row],[Tipo_aval]]="auto","Ok",IF(ISERROR(VLOOKUP(Tabela1[[#This Row],[Participante]],Atualização!$B:$B,1,FALSE)),"Ok","Atualizar"))</f>
        <v>Ok</v>
      </c>
      <c r="N25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5" t="str">
        <f>IF(IFERROR(VLOOKUP(Tabela1[[#This Row],[Novo_Avaliador]],Usuários!$A:$B,2,FALSE),"")="","",IFERROR(VLOOKUP(Tabela1[[#This Row],[Novo_Avaliador]],Usuários!$A:$B,2,FALSE),""))</f>
        <v>rodrigo.moralez@enind.com.br</v>
      </c>
      <c r="P255" t="str">
        <f>IF(Tabela1[[#This Row],[Novo_Avaliador]]=Tabela1[[#This Row],[Avaliador]],"Sim","Não")</f>
        <v>Sim</v>
      </c>
      <c r="Q255" t="b">
        <f>Tabela1[[#This Row],[email_repres]]=Tabela1[[#This Row],[e-mail novo avaliador]]</f>
        <v>1</v>
      </c>
    </row>
    <row r="256" spans="1:17" x14ac:dyDescent="0.25">
      <c r="A256" t="s">
        <v>41</v>
      </c>
      <c r="B256" t="s">
        <v>24</v>
      </c>
      <c r="C256" t="s">
        <v>258</v>
      </c>
      <c r="D256" t="s">
        <v>303</v>
      </c>
      <c r="E256" s="2" t="str">
        <f>VLOOKUP(Tabela1[[#This Row],[Avaliador]],Usuários!A:I,COLUMN($H$1),0)</f>
        <v>rodrigo.moralez</v>
      </c>
      <c r="F256" s="2" t="str">
        <f>VLOOKUP(Tabela1[[#This Row],[Avaliador]],Usuários!$A:$I,COLUMN($I$1),0)</f>
        <v>414rm!@</v>
      </c>
      <c r="G256" s="2" t="str">
        <f>VLOOKUP(Tabela1[[#This Row],[Participante]],Usuários!$A:$I,COLUMN($H$1),0)</f>
        <v>esmael.ribeiro</v>
      </c>
      <c r="H256" s="2" t="str">
        <f>VLOOKUP(Tabela1[[#This Row],[Participante]],Usuários!$A:$I,COLUMN($I$1),0)</f>
        <v>882er!@</v>
      </c>
      <c r="I256" s="1" t="s">
        <v>16</v>
      </c>
      <c r="J256" s="1" t="s">
        <v>16</v>
      </c>
      <c r="K256" t="s">
        <v>258</v>
      </c>
      <c r="L256" t="s">
        <v>307</v>
      </c>
      <c r="M256" t="str">
        <f>IF(Tabela1[[#This Row],[Tipo_aval]]="auto","Ok",IF(ISERROR(VLOOKUP(Tabela1[[#This Row],[Participante]],Atualização!$B:$B,1,FALSE)),"Ok","Atualizar"))</f>
        <v>Ok</v>
      </c>
      <c r="N25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6" t="str">
        <f>IF(IFERROR(VLOOKUP(Tabela1[[#This Row],[Novo_Avaliador]],Usuários!$A:$B,2,FALSE),"")="","",IFERROR(VLOOKUP(Tabela1[[#This Row],[Novo_Avaliador]],Usuários!$A:$B,2,FALSE),""))</f>
        <v>rodrigo.moralez@enind.com.br</v>
      </c>
      <c r="P256" t="str">
        <f>IF(Tabela1[[#This Row],[Novo_Avaliador]]=Tabela1[[#This Row],[Avaliador]],"Sim","Não")</f>
        <v>Sim</v>
      </c>
      <c r="Q256" t="b">
        <f>Tabela1[[#This Row],[email_repres]]=Tabela1[[#This Row],[e-mail novo avaliador]]</f>
        <v>1</v>
      </c>
    </row>
    <row r="257" spans="1:17" x14ac:dyDescent="0.25">
      <c r="A257" s="2" t="s">
        <v>144</v>
      </c>
      <c r="B257" s="2" t="s">
        <v>24</v>
      </c>
      <c r="C257" s="2" t="s">
        <v>258</v>
      </c>
      <c r="D257" s="2" t="s">
        <v>303</v>
      </c>
      <c r="E257" s="2" t="str">
        <f>VLOOKUP(Tabela1[[#This Row],[Avaliador]],Usuários!A:I,COLUMN($H$1),0)</f>
        <v>rodrigo.moralez</v>
      </c>
      <c r="F257" s="2" t="str">
        <f>VLOOKUP(Tabela1[[#This Row],[Avaliador]],Usuários!$A:$I,COLUMN($I$1),0)</f>
        <v>414rm!@</v>
      </c>
      <c r="G257" s="2" t="str">
        <f>VLOOKUP(Tabela1[[#This Row],[Participante]],Usuários!$A:$I,COLUMN($H$1),0)</f>
        <v>fabio.oliveira</v>
      </c>
      <c r="H257" s="2" t="str">
        <f>VLOOKUP(Tabela1[[#This Row],[Participante]],Usuários!$A:$I,COLUMN($I$1),0)</f>
        <v>747fo!@</v>
      </c>
      <c r="I257" s="1" t="s">
        <v>16</v>
      </c>
      <c r="J257" s="1" t="s">
        <v>16</v>
      </c>
      <c r="K257" t="s">
        <v>258</v>
      </c>
      <c r="L257" t="s">
        <v>307</v>
      </c>
      <c r="M257" t="str">
        <f>IF(Tabela1[[#This Row],[Tipo_aval]]="auto","Ok",IF(ISERROR(VLOOKUP(Tabela1[[#This Row],[Participante]],Atualização!$B:$B,1,FALSE)),"Ok","Atualizar"))</f>
        <v>Ok</v>
      </c>
      <c r="N25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7" t="str">
        <f>IF(IFERROR(VLOOKUP(Tabela1[[#This Row],[Novo_Avaliador]],Usuários!$A:$B,2,FALSE),"")="","",IFERROR(VLOOKUP(Tabela1[[#This Row],[Novo_Avaliador]],Usuários!$A:$B,2,FALSE),""))</f>
        <v>rodrigo.moralez@enind.com.br</v>
      </c>
      <c r="P257" t="str">
        <f>IF(Tabela1[[#This Row],[Novo_Avaliador]]=Tabela1[[#This Row],[Avaliador]],"Sim","Não")</f>
        <v>Sim</v>
      </c>
      <c r="Q257" t="b">
        <f>Tabela1[[#This Row],[email_repres]]=Tabela1[[#This Row],[e-mail novo avaliador]]</f>
        <v>1</v>
      </c>
    </row>
    <row r="258" spans="1:17" x14ac:dyDescent="0.25">
      <c r="A258" t="s">
        <v>58</v>
      </c>
      <c r="B258" t="s">
        <v>24</v>
      </c>
      <c r="C258" t="s">
        <v>258</v>
      </c>
      <c r="D258" t="s">
        <v>303</v>
      </c>
      <c r="E258" s="2" t="str">
        <f>VLOOKUP(Tabela1[[#This Row],[Avaliador]],Usuários!A:I,COLUMN($H$1),0)</f>
        <v>rodrigo.moralez</v>
      </c>
      <c r="F258" s="2" t="str">
        <f>VLOOKUP(Tabela1[[#This Row],[Avaliador]],Usuários!$A:$I,COLUMN($I$1),0)</f>
        <v>414rm!@</v>
      </c>
      <c r="G258" s="2" t="str">
        <f>VLOOKUP(Tabela1[[#This Row],[Participante]],Usuários!$A:$I,COLUMN($H$1),0)</f>
        <v>romilson.silva</v>
      </c>
      <c r="H258" s="2" t="str">
        <f>VLOOKUP(Tabela1[[#This Row],[Participante]],Usuários!$A:$I,COLUMN($I$1),0)</f>
        <v>227rs!@</v>
      </c>
      <c r="I258" s="1" t="s">
        <v>16</v>
      </c>
      <c r="J258" s="1" t="s">
        <v>16</v>
      </c>
      <c r="K258" t="s">
        <v>258</v>
      </c>
      <c r="L258" t="s">
        <v>307</v>
      </c>
      <c r="M258" t="str">
        <f>IF(Tabela1[[#This Row],[Tipo_aval]]="auto","Ok",IF(ISERROR(VLOOKUP(Tabela1[[#This Row],[Participante]],Atualização!$B:$B,1,FALSE)),"Ok","Atualizar"))</f>
        <v>Ok</v>
      </c>
      <c r="N25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8" t="str">
        <f>IF(IFERROR(VLOOKUP(Tabela1[[#This Row],[Novo_Avaliador]],Usuários!$A:$B,2,FALSE),"")="","",IFERROR(VLOOKUP(Tabela1[[#This Row],[Novo_Avaliador]],Usuários!$A:$B,2,FALSE),""))</f>
        <v>rodrigo.moralez@enind.com.br</v>
      </c>
      <c r="P258" t="str">
        <f>IF(Tabela1[[#This Row],[Novo_Avaliador]]=Tabela1[[#This Row],[Avaliador]],"Sim","Não")</f>
        <v>Sim</v>
      </c>
      <c r="Q258" t="b">
        <f>Tabela1[[#This Row],[email_repres]]=Tabela1[[#This Row],[e-mail novo avaliador]]</f>
        <v>1</v>
      </c>
    </row>
    <row r="259" spans="1:17" x14ac:dyDescent="0.25">
      <c r="A259" s="2" t="s">
        <v>240</v>
      </c>
      <c r="B259" s="2" t="s">
        <v>24</v>
      </c>
      <c r="C259" s="2" t="s">
        <v>258</v>
      </c>
      <c r="D259" s="2" t="s">
        <v>297</v>
      </c>
      <c r="E259" s="2" t="str">
        <f>VLOOKUP(Tabela1[[#This Row],[Avaliador]],Usuários!A:I,COLUMN($H$1),0)</f>
        <v>rodrigo.moralez</v>
      </c>
      <c r="F259" s="2" t="str">
        <f>VLOOKUP(Tabela1[[#This Row],[Avaliador]],Usuários!$A:$I,COLUMN($I$1),0)</f>
        <v>414rm!@</v>
      </c>
      <c r="G259" s="2" t="str">
        <f>VLOOKUP(Tabela1[[#This Row],[Participante]],Usuários!$A:$I,COLUMN($H$1),0)</f>
        <v>mayara.santos</v>
      </c>
      <c r="H259" s="2" t="str">
        <f>VLOOKUP(Tabela1[[#This Row],[Participante]],Usuários!$A:$I,COLUMN($I$1),0)</f>
        <v>193ms!@</v>
      </c>
      <c r="I259" s="1" t="s">
        <v>16</v>
      </c>
      <c r="J259" s="1" t="s">
        <v>16</v>
      </c>
      <c r="K259" t="str">
        <f>Tabela1[[#This Row],[Email]]</f>
        <v>rodrigo.moralez@enind.com.br</v>
      </c>
      <c r="L259" t="s">
        <v>307</v>
      </c>
      <c r="M259" t="str">
        <f>IF(Tabela1[[#This Row],[Tipo_aval]]="auto","Ok",IF(ISERROR(VLOOKUP(Tabela1[[#This Row],[Participante]],Atualização!$B:$B,1,FALSE)),"Ok","Atualizar"))</f>
        <v>Atualizar</v>
      </c>
      <c r="N25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Rodrigo Santana Moralez</v>
      </c>
      <c r="O259" t="str">
        <f>IF(IFERROR(VLOOKUP(Tabela1[[#This Row],[Novo_Avaliador]],Usuários!$A:$B,2,FALSE),"")="","",IFERROR(VLOOKUP(Tabela1[[#This Row],[Novo_Avaliador]],Usuários!$A:$B,2,FALSE),""))</f>
        <v>rodrigo.moralez@enind.com.br</v>
      </c>
      <c r="P259" t="str">
        <f>IF(Tabela1[[#This Row],[Novo_Avaliador]]=Tabela1[[#This Row],[Avaliador]],"Sim","Não")</f>
        <v>Sim</v>
      </c>
      <c r="Q259" t="b">
        <f>Tabela1[[#This Row],[email_repres]]=Tabela1[[#This Row],[e-mail novo avaliador]]</f>
        <v>1</v>
      </c>
    </row>
    <row r="260" spans="1:17" x14ac:dyDescent="0.25">
      <c r="A260" s="2" t="s">
        <v>260</v>
      </c>
      <c r="B260" s="2" t="s">
        <v>260</v>
      </c>
      <c r="C260" s="2" t="s">
        <v>261</v>
      </c>
      <c r="D260" s="2" t="s">
        <v>295</v>
      </c>
      <c r="E260" s="2" t="str">
        <f>VLOOKUP(Tabela1[[#This Row],[Avaliador]],Usuários!A:I,COLUMN($H$1),0)</f>
        <v>ronierison.siqueira</v>
      </c>
      <c r="F260" s="2" t="str">
        <f>VLOOKUP(Tabela1[[#This Row],[Avaliador]],Usuários!$A:$I,COLUMN($I$1),0)</f>
        <v>938rs!@</v>
      </c>
      <c r="G260" s="2" t="str">
        <f>VLOOKUP(Tabela1[[#This Row],[Participante]],Usuários!$A:$I,COLUMN($H$1),0)</f>
        <v>ronierison.siqueira</v>
      </c>
      <c r="H260" s="2" t="str">
        <f>VLOOKUP(Tabela1[[#This Row],[Participante]],Usuários!$A:$I,COLUMN($I$1),0)</f>
        <v>938rs!@</v>
      </c>
      <c r="I260" s="1" t="s">
        <v>6</v>
      </c>
      <c r="J260" s="1" t="s">
        <v>16</v>
      </c>
      <c r="K260" t="s">
        <v>261</v>
      </c>
      <c r="L260" t="s">
        <v>307</v>
      </c>
      <c r="M260" t="str">
        <f>IF(Tabela1[[#This Row],[Tipo_aval]]="auto","Ok",IF(ISERROR(VLOOKUP(Tabela1[[#This Row],[Participante]],Atualização!$B:$B,1,FALSE)),"Ok","Atualizar"))</f>
        <v>Ok</v>
      </c>
      <c r="N26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Ronierison de Lima Siqueira</v>
      </c>
      <c r="O260" t="str">
        <f>IF(IFERROR(VLOOKUP(Tabela1[[#This Row],[Novo_Avaliador]],Usuários!$A:$B,2,FALSE),"")="","",IFERROR(VLOOKUP(Tabela1[[#This Row],[Novo_Avaliador]],Usuários!$A:$B,2,FALSE),""))</f>
        <v>ronierison.siqueira@enindservicos.com.br</v>
      </c>
      <c r="P260" t="str">
        <f>IF(Tabela1[[#This Row],[Novo_Avaliador]]=Tabela1[[#This Row],[Avaliador]],"Sim","Não")</f>
        <v>Sim</v>
      </c>
      <c r="Q260" t="b">
        <f>Tabela1[[#This Row],[email_repres]]=Tabela1[[#This Row],[e-mail novo avaliador]]</f>
        <v>1</v>
      </c>
    </row>
    <row r="261" spans="1:17" x14ac:dyDescent="0.25">
      <c r="A261" t="s">
        <v>349</v>
      </c>
      <c r="B261" t="s">
        <v>349</v>
      </c>
      <c r="C261" t="s">
        <v>386</v>
      </c>
      <c r="D261" t="s">
        <v>295</v>
      </c>
      <c r="E261" s="2" t="str">
        <f>VLOOKUP(Tabela1[[#This Row],[Avaliador]],Usuários!A:I,COLUMN($H$1),0)</f>
        <v>ruan.ramos</v>
      </c>
      <c r="F261" s="2" t="str">
        <f>VLOOKUP(Tabela1[[#This Row],[Avaliador]],Usuários!$A:$I,COLUMN($I$1),0)</f>
        <v>718rr!@</v>
      </c>
      <c r="G261" s="2" t="str">
        <f>VLOOKUP(Tabela1[[#This Row],[Participante]],Usuários!$A:$I,COLUMN($H$1),0)</f>
        <v>ruan.ramos</v>
      </c>
      <c r="H261" s="2" t="str">
        <f>VLOOKUP(Tabela1[[#This Row],[Participante]],Usuários!$A:$I,COLUMN($I$1),0)</f>
        <v>718rr!@</v>
      </c>
      <c r="I261" s="1" t="s">
        <v>6</v>
      </c>
      <c r="J261" s="1" t="s">
        <v>16</v>
      </c>
      <c r="K261" t="s">
        <v>386</v>
      </c>
      <c r="L261" t="s">
        <v>307</v>
      </c>
      <c r="M261" t="str">
        <f>IF(Tabela1[[#This Row],[Tipo_aval]]="auto","Ok",IF(ISERROR(VLOOKUP(Tabela1[[#This Row],[Participante]],Atualização!$B:$B,1,FALSE)),"Ok","Atualizar"))</f>
        <v>Ok</v>
      </c>
      <c r="N26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Ruan Filipe Amaral Ramos</v>
      </c>
      <c r="O261" t="str">
        <f>IF(IFERROR(VLOOKUP(Tabela1[[#This Row],[Novo_Avaliador]],Usuários!$A:$B,2,FALSE),"")="","",IFERROR(VLOOKUP(Tabela1[[#This Row],[Novo_Avaliador]],Usuários!$A:$B,2,FALSE),""))</f>
        <v>ruan.ramos@enind.com.br</v>
      </c>
      <c r="P261" t="str">
        <f>IF(Tabela1[[#This Row],[Novo_Avaliador]]=Tabela1[[#This Row],[Avaliador]],"Sim","Não")</f>
        <v>Sim</v>
      </c>
      <c r="Q261" t="b">
        <f>Tabela1[[#This Row],[email_repres]]=Tabela1[[#This Row],[e-mail novo avaliador]]</f>
        <v>1</v>
      </c>
    </row>
    <row r="262" spans="1:17" x14ac:dyDescent="0.25">
      <c r="A262" t="s">
        <v>350</v>
      </c>
      <c r="B262" t="s">
        <v>350</v>
      </c>
      <c r="C262" t="s">
        <v>387</v>
      </c>
      <c r="D262" t="s">
        <v>295</v>
      </c>
      <c r="E262" s="2" t="str">
        <f>VLOOKUP(Tabela1[[#This Row],[Avaliador]],Usuários!A:I,COLUMN($H$1),0)</f>
        <v>sergio.porto</v>
      </c>
      <c r="F262" s="2" t="str">
        <f>VLOOKUP(Tabela1[[#This Row],[Avaliador]],Usuários!$A:$I,COLUMN($I$1),0)</f>
        <v>334sp!@</v>
      </c>
      <c r="G262" s="2" t="str">
        <f>VLOOKUP(Tabela1[[#This Row],[Participante]],Usuários!$A:$I,COLUMN($H$1),0)</f>
        <v>sergio.porto</v>
      </c>
      <c r="H262" s="2" t="str">
        <f>VLOOKUP(Tabela1[[#This Row],[Participante]],Usuários!$A:$I,COLUMN($I$1),0)</f>
        <v>334sp!@</v>
      </c>
      <c r="I262" s="1" t="s">
        <v>6</v>
      </c>
      <c r="J262" s="1" t="s">
        <v>16</v>
      </c>
      <c r="K262" t="s">
        <v>387</v>
      </c>
      <c r="L262" t="s">
        <v>307</v>
      </c>
      <c r="M262" t="str">
        <f>IF(Tabela1[[#This Row],[Tipo_aval]]="auto","Ok",IF(ISERROR(VLOOKUP(Tabela1[[#This Row],[Participante]],Atualização!$B:$B,1,FALSE)),"Ok","Atualizar"))</f>
        <v>Ok</v>
      </c>
      <c r="N26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Sergio Reis Porto</v>
      </c>
      <c r="O262" t="str">
        <f>IF(IFERROR(VLOOKUP(Tabela1[[#This Row],[Novo_Avaliador]],Usuários!$A:$B,2,FALSE),"")="","",IFERROR(VLOOKUP(Tabela1[[#This Row],[Novo_Avaliador]],Usuários!$A:$B,2,FALSE),""))</f>
        <v>sergio.porto@enind.com.br</v>
      </c>
      <c r="P262" t="str">
        <f>IF(Tabela1[[#This Row],[Novo_Avaliador]]=Tabela1[[#This Row],[Avaliador]],"Sim","Não")</f>
        <v>Sim</v>
      </c>
      <c r="Q262" t="b">
        <f>Tabela1[[#This Row],[email_repres]]=Tabela1[[#This Row],[e-mail novo avaliador]]</f>
        <v>1</v>
      </c>
    </row>
    <row r="263" spans="1:17" x14ac:dyDescent="0.25">
      <c r="A263" s="2" t="s">
        <v>220</v>
      </c>
      <c r="B263" s="2" t="s">
        <v>220</v>
      </c>
      <c r="C263" s="2" t="s">
        <v>263</v>
      </c>
      <c r="D263" s="2" t="s">
        <v>295</v>
      </c>
      <c r="E263" s="2" t="str">
        <f>VLOOKUP(Tabela1[[#This Row],[Avaliador]],Usuários!A:I,COLUMN($H$1),0)</f>
        <v>talita.peixoto</v>
      </c>
      <c r="F263" s="2" t="str">
        <f>VLOOKUP(Tabela1[[#This Row],[Avaliador]],Usuários!$A:$I,COLUMN($I$1),0)</f>
        <v>924tp!@</v>
      </c>
      <c r="G263" s="2" t="str">
        <f>VLOOKUP(Tabela1[[#This Row],[Participante]],Usuários!$A:$I,COLUMN($H$1),0)</f>
        <v>talita.peixoto</v>
      </c>
      <c r="H263" s="2" t="str">
        <f>VLOOKUP(Tabela1[[#This Row],[Participante]],Usuários!$A:$I,COLUMN($I$1),0)</f>
        <v>924tp!@</v>
      </c>
      <c r="I263" s="1" t="s">
        <v>6</v>
      </c>
      <c r="J263" s="1" t="s">
        <v>16</v>
      </c>
      <c r="K263" t="s">
        <v>263</v>
      </c>
      <c r="L263" t="s">
        <v>307</v>
      </c>
      <c r="M263" t="str">
        <f>IF(Tabela1[[#This Row],[Tipo_aval]]="auto","Ok",IF(ISERROR(VLOOKUP(Tabela1[[#This Row],[Participante]],Atualização!$B:$B,1,FALSE)),"Ok","Atualizar"))</f>
        <v>Ok</v>
      </c>
      <c r="N26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Talita Moura Peixoto</v>
      </c>
      <c r="O263" t="str">
        <f>IF(IFERROR(VLOOKUP(Tabela1[[#This Row],[Novo_Avaliador]],Usuários!$A:$B,2,FALSE),"")="","",IFERROR(VLOOKUP(Tabela1[[#This Row],[Novo_Avaliador]],Usuários!$A:$B,2,FALSE),""))</f>
        <v>talita.peixoto@enind.com.br</v>
      </c>
      <c r="P263" t="str">
        <f>IF(Tabela1[[#This Row],[Novo_Avaliador]]=Tabela1[[#This Row],[Avaliador]],"Sim","Não")</f>
        <v>Sim</v>
      </c>
      <c r="Q263" t="b">
        <f>Tabela1[[#This Row],[email_repres]]=Tabela1[[#This Row],[e-mail novo avaliador]]</f>
        <v>1</v>
      </c>
    </row>
    <row r="264" spans="1:17" x14ac:dyDescent="0.25">
      <c r="A264" s="2" t="s">
        <v>52</v>
      </c>
      <c r="B264" s="2" t="s">
        <v>52</v>
      </c>
      <c r="C264" s="2" t="s">
        <v>264</v>
      </c>
      <c r="D264" s="2" t="s">
        <v>295</v>
      </c>
      <c r="E264" s="2" t="str">
        <f>VLOOKUP(Tabela1[[#This Row],[Avaliador]],Usuários!A:I,COLUMN($H$1),0)</f>
        <v>thais.alves</v>
      </c>
      <c r="F264" s="2" t="str">
        <f>VLOOKUP(Tabela1[[#This Row],[Avaliador]],Usuários!$A:$I,COLUMN($I$1),0)</f>
        <v>751ta!@</v>
      </c>
      <c r="G264" s="2" t="str">
        <f>VLOOKUP(Tabela1[[#This Row],[Participante]],Usuários!$A:$I,COLUMN($H$1),0)</f>
        <v>thais.alves</v>
      </c>
      <c r="H264" s="2" t="str">
        <f>VLOOKUP(Tabela1[[#This Row],[Participante]],Usuários!$A:$I,COLUMN($I$1),0)</f>
        <v>751ta!@</v>
      </c>
      <c r="I264" s="1" t="s">
        <v>6</v>
      </c>
      <c r="J264" s="1" t="s">
        <v>16</v>
      </c>
      <c r="K264" t="s">
        <v>264</v>
      </c>
      <c r="L264" t="s">
        <v>309</v>
      </c>
      <c r="M264" t="str">
        <f>IF(Tabela1[[#This Row],[Tipo_aval]]="auto","Ok",IF(ISERROR(VLOOKUP(Tabela1[[#This Row],[Participante]],Atualização!$B:$B,1,FALSE)),"Ok","Atualizar"))</f>
        <v>Ok</v>
      </c>
      <c r="N26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64" t="str">
        <f>IF(IFERROR(VLOOKUP(Tabela1[[#This Row],[Novo_Avaliador]],Usuários!$A:$B,2,FALSE),"")="","",IFERROR(VLOOKUP(Tabela1[[#This Row],[Novo_Avaliador]],Usuários!$A:$B,2,FALSE),""))</f>
        <v>thais.alves@enind.com.br</v>
      </c>
      <c r="P264" t="str">
        <f>IF(Tabela1[[#This Row],[Novo_Avaliador]]=Tabela1[[#This Row],[Avaliador]],"Sim","Não")</f>
        <v>Sim</v>
      </c>
      <c r="Q264" t="b">
        <f>Tabela1[[#This Row],[email_repres]]=Tabela1[[#This Row],[e-mail novo avaliador]]</f>
        <v>1</v>
      </c>
    </row>
    <row r="265" spans="1:17" x14ac:dyDescent="0.25">
      <c r="A265" s="2" t="s">
        <v>234</v>
      </c>
      <c r="B265" s="2" t="s">
        <v>52</v>
      </c>
      <c r="C265" s="2" t="s">
        <v>264</v>
      </c>
      <c r="D265" s="2" t="s">
        <v>297</v>
      </c>
      <c r="E265" s="2" t="str">
        <f>VLOOKUP(Tabela1[[#This Row],[Avaliador]],Usuários!A:I,COLUMN($H$1),0)</f>
        <v>thais.alves</v>
      </c>
      <c r="F265" s="2" t="str">
        <f>VLOOKUP(Tabela1[[#This Row],[Avaliador]],Usuários!$A:$I,COLUMN($I$1),0)</f>
        <v>751ta!@</v>
      </c>
      <c r="G265" s="2" t="str">
        <f>VLOOKUP(Tabela1[[#This Row],[Participante]],Usuários!$A:$I,COLUMN($H$1),0)</f>
        <v>marcos.silva</v>
      </c>
      <c r="H265" s="2" t="str">
        <f>VLOOKUP(Tabela1[[#This Row],[Participante]],Usuários!$A:$I,COLUMN($I$1),0)</f>
        <v>647ms!@</v>
      </c>
      <c r="I265" s="1" t="s">
        <v>16</v>
      </c>
      <c r="J265" s="1" t="s">
        <v>16</v>
      </c>
      <c r="K265" t="str">
        <f>Tabela1[[#This Row],[Email]]</f>
        <v>thais.alves@enind.com.br</v>
      </c>
      <c r="L265" t="s">
        <v>307</v>
      </c>
      <c r="M265" t="str">
        <f>IF(Tabela1[[#This Row],[Tipo_aval]]="auto","Ok",IF(ISERROR(VLOOKUP(Tabela1[[#This Row],[Participante]],Atualização!$B:$B,1,FALSE)),"Ok","Atualizar"))</f>
        <v>Atualizar</v>
      </c>
      <c r="N26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65" t="str">
        <f>IF(IFERROR(VLOOKUP(Tabela1[[#This Row],[Novo_Avaliador]],Usuários!$A:$B,2,FALSE),"")="","",IFERROR(VLOOKUP(Tabela1[[#This Row],[Novo_Avaliador]],Usuários!$A:$B,2,FALSE),""))</f>
        <v>thais.alves@enind.com.br</v>
      </c>
      <c r="P265" t="str">
        <f>IF(Tabela1[[#This Row],[Novo_Avaliador]]=Tabela1[[#This Row],[Avaliador]],"Sim","Não")</f>
        <v>Sim</v>
      </c>
      <c r="Q265" t="b">
        <f>Tabela1[[#This Row],[email_repres]]=Tabela1[[#This Row],[e-mail novo avaliador]]</f>
        <v>1</v>
      </c>
    </row>
    <row r="266" spans="1:17" x14ac:dyDescent="0.25">
      <c r="A266" s="2" t="s">
        <v>266</v>
      </c>
      <c r="B266" s="2" t="s">
        <v>52</v>
      </c>
      <c r="C266" s="2" t="s">
        <v>264</v>
      </c>
      <c r="D266" s="2" t="s">
        <v>297</v>
      </c>
      <c r="E266" s="2" t="str">
        <f>VLOOKUP(Tabela1[[#This Row],[Avaliador]],Usuários!A:I,COLUMN($H$1),0)</f>
        <v>thais.alves</v>
      </c>
      <c r="F266" s="2" t="str">
        <f>VLOOKUP(Tabela1[[#This Row],[Avaliador]],Usuários!$A:$I,COLUMN($I$1),0)</f>
        <v>751ta!@</v>
      </c>
      <c r="G266" s="2" t="str">
        <f>VLOOKUP(Tabela1[[#This Row],[Participante]],Usuários!$A:$I,COLUMN($H$1),0)</f>
        <v>vinicius.xisto</v>
      </c>
      <c r="H266" s="2" t="str">
        <f>VLOOKUP(Tabela1[[#This Row],[Participante]],Usuários!$A:$I,COLUMN($I$1),0)</f>
        <v>790vx!@</v>
      </c>
      <c r="I266" s="1" t="s">
        <v>16</v>
      </c>
      <c r="J266" s="1" t="s">
        <v>16</v>
      </c>
      <c r="K266" t="s">
        <v>264</v>
      </c>
      <c r="L266" t="s">
        <v>309</v>
      </c>
      <c r="M266" t="str">
        <f>IF(Tabela1[[#This Row],[Tipo_aval]]="auto","Ok",IF(ISERROR(VLOOKUP(Tabela1[[#This Row],[Participante]],Atualização!$B:$B,1,FALSE)),"Ok","Atualizar"))</f>
        <v>Ok</v>
      </c>
      <c r="N26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66" t="str">
        <f>IF(IFERROR(VLOOKUP(Tabela1[[#This Row],[Novo_Avaliador]],Usuários!$A:$B,2,FALSE),"")="","",IFERROR(VLOOKUP(Tabela1[[#This Row],[Novo_Avaliador]],Usuários!$A:$B,2,FALSE),""))</f>
        <v>thais.alves@enind.com.br</v>
      </c>
      <c r="P266" t="str">
        <f>IF(Tabela1[[#This Row],[Novo_Avaliador]]=Tabela1[[#This Row],[Avaliador]],"Sim","Não")</f>
        <v>Sim</v>
      </c>
      <c r="Q266" t="b">
        <f>Tabela1[[#This Row],[email_repres]]=Tabela1[[#This Row],[e-mail novo avaliador]]</f>
        <v>1</v>
      </c>
    </row>
    <row r="267" spans="1:17" x14ac:dyDescent="0.25">
      <c r="A267" t="s">
        <v>48</v>
      </c>
      <c r="B267" t="s">
        <v>52</v>
      </c>
      <c r="C267" t="s">
        <v>264</v>
      </c>
      <c r="D267" t="s">
        <v>303</v>
      </c>
      <c r="E267" s="2" t="str">
        <f>VLOOKUP(Tabela1[[#This Row],[Avaliador]],Usuários!A:I,COLUMN($H$1),0)</f>
        <v>thais.alves</v>
      </c>
      <c r="F267" s="2" t="str">
        <f>VLOOKUP(Tabela1[[#This Row],[Avaliador]],Usuários!$A:$I,COLUMN($I$1),0)</f>
        <v>751ta!@</v>
      </c>
      <c r="G267" s="2" t="str">
        <f>VLOOKUP(Tabela1[[#This Row],[Participante]],Usuários!$A:$I,COLUMN($H$1),0)</f>
        <v>crislane.gama</v>
      </c>
      <c r="H267" s="2" t="str">
        <f>VLOOKUP(Tabela1[[#This Row],[Participante]],Usuários!$A:$I,COLUMN($I$1),0)</f>
        <v>222cg!@</v>
      </c>
      <c r="I267" s="1" t="s">
        <v>16</v>
      </c>
      <c r="J267" s="1" t="s">
        <v>16</v>
      </c>
      <c r="K267" t="s">
        <v>264</v>
      </c>
      <c r="L267" t="s">
        <v>307</v>
      </c>
      <c r="M267" t="str">
        <f>IF(Tabela1[[#This Row],[Tipo_aval]]="auto","Ok",IF(ISERROR(VLOOKUP(Tabela1[[#This Row],[Participante]],Atualização!$B:$B,1,FALSE)),"Ok","Atualizar"))</f>
        <v>Ok</v>
      </c>
      <c r="N26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67" t="str">
        <f>IF(IFERROR(VLOOKUP(Tabela1[[#This Row],[Novo_Avaliador]],Usuários!$A:$B,2,FALSE),"")="","",IFERROR(VLOOKUP(Tabela1[[#This Row],[Novo_Avaliador]],Usuários!$A:$B,2,FALSE),""))</f>
        <v>thais.alves@enind.com.br</v>
      </c>
      <c r="P267" t="str">
        <f>IF(Tabela1[[#This Row],[Novo_Avaliador]]=Tabela1[[#This Row],[Avaliador]],"Sim","Não")</f>
        <v>Sim</v>
      </c>
      <c r="Q267" t="b">
        <f>Tabela1[[#This Row],[email_repres]]=Tabela1[[#This Row],[e-mail novo avaliador]]</f>
        <v>1</v>
      </c>
    </row>
    <row r="268" spans="1:17" x14ac:dyDescent="0.25">
      <c r="A268" s="2" t="s">
        <v>109</v>
      </c>
      <c r="B268" s="2" t="s">
        <v>52</v>
      </c>
      <c r="C268" s="2" t="s">
        <v>264</v>
      </c>
      <c r="D268" s="2" t="s">
        <v>303</v>
      </c>
      <c r="E268" s="2" t="str">
        <f>VLOOKUP(Tabela1[[#This Row],[Avaliador]],Usuários!A:I,COLUMN($H$1),0)</f>
        <v>thais.alves</v>
      </c>
      <c r="F268" s="2" t="str">
        <f>VLOOKUP(Tabela1[[#This Row],[Avaliador]],Usuários!$A:$I,COLUMN($I$1),0)</f>
        <v>751ta!@</v>
      </c>
      <c r="G268" s="2" t="str">
        <f>VLOOKUP(Tabela1[[#This Row],[Participante]],Usuários!$A:$I,COLUMN($H$1),0)</f>
        <v>emerson.bonotto</v>
      </c>
      <c r="H268" s="2" t="str">
        <f>VLOOKUP(Tabela1[[#This Row],[Participante]],Usuários!$A:$I,COLUMN($I$1),0)</f>
        <v>645eb!@</v>
      </c>
      <c r="I268" s="1" t="s">
        <v>16</v>
      </c>
      <c r="J268" s="1" t="s">
        <v>16</v>
      </c>
      <c r="K268" t="s">
        <v>264</v>
      </c>
      <c r="L268" t="s">
        <v>307</v>
      </c>
      <c r="M268" t="str">
        <f>IF(Tabela1[[#This Row],[Tipo_aval]]="auto","Ok",IF(ISERROR(VLOOKUP(Tabela1[[#This Row],[Participante]],Atualização!$B:$B,1,FALSE)),"Ok","Atualizar"))</f>
        <v>Ok</v>
      </c>
      <c r="N26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68" t="str">
        <f>IF(IFERROR(VLOOKUP(Tabela1[[#This Row],[Novo_Avaliador]],Usuários!$A:$B,2,FALSE),"")="","",IFERROR(VLOOKUP(Tabela1[[#This Row],[Novo_Avaliador]],Usuários!$A:$B,2,FALSE),""))</f>
        <v>thais.alves@enind.com.br</v>
      </c>
      <c r="P268" t="str">
        <f>IF(Tabela1[[#This Row],[Novo_Avaliador]]=Tabela1[[#This Row],[Avaliador]],"Sim","Não")</f>
        <v>Sim</v>
      </c>
      <c r="Q268" t="b">
        <f>Tabela1[[#This Row],[email_repres]]=Tabela1[[#This Row],[e-mail novo avaliador]]</f>
        <v>1</v>
      </c>
    </row>
    <row r="269" spans="1:17" x14ac:dyDescent="0.25">
      <c r="A269" t="s">
        <v>185</v>
      </c>
      <c r="B269" t="s">
        <v>52</v>
      </c>
      <c r="C269" t="s">
        <v>264</v>
      </c>
      <c r="D269" t="s">
        <v>303</v>
      </c>
      <c r="E269" s="2" t="str">
        <f>VLOOKUP(Tabela1[[#This Row],[Avaliador]],Usuários!A:I,COLUMN($H$1),0)</f>
        <v>thais.alves</v>
      </c>
      <c r="F269" s="2" t="str">
        <f>VLOOKUP(Tabela1[[#This Row],[Avaliador]],Usuários!$A:$I,COLUMN($I$1),0)</f>
        <v>751ta!@</v>
      </c>
      <c r="G269" s="2" t="str">
        <f>VLOOKUP(Tabela1[[#This Row],[Participante]],Usuários!$A:$I,COLUMN($H$1),0)</f>
        <v>miriam.carvalho</v>
      </c>
      <c r="H269" s="2" t="str">
        <f>VLOOKUP(Tabela1[[#This Row],[Participante]],Usuários!$A:$I,COLUMN($I$1),0)</f>
        <v>212mc!@</v>
      </c>
      <c r="I269" s="1" t="s">
        <v>16</v>
      </c>
      <c r="J269" s="1" t="s">
        <v>16</v>
      </c>
      <c r="K269" t="s">
        <v>264</v>
      </c>
      <c r="L269" t="s">
        <v>307</v>
      </c>
      <c r="M269" t="str">
        <f>IF(Tabela1[[#This Row],[Tipo_aval]]="auto","Ok",IF(ISERROR(VLOOKUP(Tabela1[[#This Row],[Participante]],Atualização!$B:$B,1,FALSE)),"Ok","Atualizar"))</f>
        <v>Ok</v>
      </c>
      <c r="N26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69" t="str">
        <f>IF(IFERROR(VLOOKUP(Tabela1[[#This Row],[Novo_Avaliador]],Usuários!$A:$B,2,FALSE),"")="","",IFERROR(VLOOKUP(Tabela1[[#This Row],[Novo_Avaliador]],Usuários!$A:$B,2,FALSE),""))</f>
        <v>thais.alves@enind.com.br</v>
      </c>
      <c r="P269" t="str">
        <f>IF(Tabela1[[#This Row],[Novo_Avaliador]]=Tabela1[[#This Row],[Avaliador]],"Sim","Não")</f>
        <v>Sim</v>
      </c>
      <c r="Q269" t="b">
        <f>Tabela1[[#This Row],[email_repres]]=Tabela1[[#This Row],[e-mail novo avaliador]]</f>
        <v>1</v>
      </c>
    </row>
    <row r="270" spans="1:17" x14ac:dyDescent="0.25">
      <c r="A270" t="s">
        <v>317</v>
      </c>
      <c r="B270" t="s">
        <v>52</v>
      </c>
      <c r="C270" t="s">
        <v>264</v>
      </c>
      <c r="D270" t="s">
        <v>297</v>
      </c>
      <c r="E270" s="2" t="str">
        <f>VLOOKUP(Tabela1[[#This Row],[Avaliador]],Usuários!A:I,COLUMN($H$1),0)</f>
        <v>thais.alves</v>
      </c>
      <c r="F270" s="2" t="str">
        <f>VLOOKUP(Tabela1[[#This Row],[Avaliador]],Usuários!$A:$I,COLUMN($I$1),0)</f>
        <v>751ta!@</v>
      </c>
      <c r="G270" s="2" t="str">
        <f>VLOOKUP(Tabela1[[#This Row],[Participante]],Usuários!$A:$I,COLUMN($H$1),0)</f>
        <v>amanda.paixao</v>
      </c>
      <c r="H270" s="2" t="str">
        <f>VLOOKUP(Tabela1[[#This Row],[Participante]],Usuários!$A:$I,COLUMN($I$1),0)</f>
        <v>634ap!@</v>
      </c>
      <c r="I270" s="1" t="s">
        <v>16</v>
      </c>
      <c r="J270" s="1" t="s">
        <v>16</v>
      </c>
      <c r="K270" t="s">
        <v>264</v>
      </c>
      <c r="L270" t="s">
        <v>307</v>
      </c>
      <c r="M270" t="str">
        <f>IF(Tabela1[[#This Row],[Tipo_aval]]="auto","Ok",IF(ISERROR(VLOOKUP(Tabela1[[#This Row],[Participante]],Atualização!$B:$B,1,FALSE)),"Ok","Atualizar"))</f>
        <v>Ok</v>
      </c>
      <c r="N27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0" t="str">
        <f>IF(IFERROR(VLOOKUP(Tabela1[[#This Row],[Novo_Avaliador]],Usuários!$A:$B,2,FALSE),"")="","",IFERROR(VLOOKUP(Tabela1[[#This Row],[Novo_Avaliador]],Usuários!$A:$B,2,FALSE),""))</f>
        <v>thais.alves@enind.com.br</v>
      </c>
      <c r="P270" t="str">
        <f>IF(Tabela1[[#This Row],[Novo_Avaliador]]=Tabela1[[#This Row],[Avaliador]],"Sim","Não")</f>
        <v>Sim</v>
      </c>
      <c r="Q270" t="b">
        <f>Tabela1[[#This Row],[email_repres]]=Tabela1[[#This Row],[e-mail novo avaliador]]</f>
        <v>1</v>
      </c>
    </row>
    <row r="271" spans="1:17" x14ac:dyDescent="0.25">
      <c r="A271" t="s">
        <v>321</v>
      </c>
      <c r="B271" t="s">
        <v>52</v>
      </c>
      <c r="C271" t="s">
        <v>264</v>
      </c>
      <c r="D271" t="s">
        <v>297</v>
      </c>
      <c r="E271" s="2" t="str">
        <f>VLOOKUP(Tabela1[[#This Row],[Avaliador]],Usuários!A:I,COLUMN($H$1),0)</f>
        <v>thais.alves</v>
      </c>
      <c r="F271" s="2" t="str">
        <f>VLOOKUP(Tabela1[[#This Row],[Avaliador]],Usuários!$A:$I,COLUMN($I$1),0)</f>
        <v>751ta!@</v>
      </c>
      <c r="G271" s="2" t="str">
        <f>VLOOKUP(Tabela1[[#This Row],[Participante]],Usuários!$A:$I,COLUMN($H$1),0)</f>
        <v>antonio.santos</v>
      </c>
      <c r="H271" s="2" t="str">
        <f>VLOOKUP(Tabela1[[#This Row],[Participante]],Usuários!$A:$I,COLUMN($I$1),0)</f>
        <v>391as!@</v>
      </c>
      <c r="I271" s="1" t="s">
        <v>16</v>
      </c>
      <c r="J271" s="1" t="s">
        <v>16</v>
      </c>
      <c r="K271" t="s">
        <v>264</v>
      </c>
      <c r="L271" t="s">
        <v>309</v>
      </c>
      <c r="M271" t="str">
        <f>IF(Tabela1[[#This Row],[Tipo_aval]]="auto","Ok",IF(ISERROR(VLOOKUP(Tabela1[[#This Row],[Participante]],Atualização!$B:$B,1,FALSE)),"Ok","Atualizar"))</f>
        <v>Ok</v>
      </c>
      <c r="N27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1" t="str">
        <f>IF(IFERROR(VLOOKUP(Tabela1[[#This Row],[Novo_Avaliador]],Usuários!$A:$B,2,FALSE),"")="","",IFERROR(VLOOKUP(Tabela1[[#This Row],[Novo_Avaliador]],Usuários!$A:$B,2,FALSE),""))</f>
        <v>thais.alves@enind.com.br</v>
      </c>
      <c r="P271" t="str">
        <f>IF(Tabela1[[#This Row],[Novo_Avaliador]]=Tabela1[[#This Row],[Avaliador]],"Sim","Não")</f>
        <v>Sim</v>
      </c>
      <c r="Q271" t="b">
        <f>Tabela1[[#This Row],[email_repres]]=Tabela1[[#This Row],[e-mail novo avaliador]]</f>
        <v>1</v>
      </c>
    </row>
    <row r="272" spans="1:17" x14ac:dyDescent="0.25">
      <c r="A272" t="s">
        <v>328</v>
      </c>
      <c r="B272" t="s">
        <v>52</v>
      </c>
      <c r="C272" t="s">
        <v>264</v>
      </c>
      <c r="D272" t="s">
        <v>297</v>
      </c>
      <c r="E272" s="2" t="str">
        <f>VLOOKUP(Tabela1[[#This Row],[Avaliador]],Usuários!A:I,COLUMN($H$1),0)</f>
        <v>thais.alves</v>
      </c>
      <c r="F272" s="2" t="str">
        <f>VLOOKUP(Tabela1[[#This Row],[Avaliador]],Usuários!$A:$I,COLUMN($I$1),0)</f>
        <v>751ta!@</v>
      </c>
      <c r="G272" s="2" t="str">
        <f>VLOOKUP(Tabela1[[#This Row],[Participante]],Usuários!$A:$I,COLUMN($H$1),0)</f>
        <v>jorge.mota</v>
      </c>
      <c r="H272" s="2" t="str">
        <f>VLOOKUP(Tabela1[[#This Row],[Participante]],Usuários!$A:$I,COLUMN($I$1),0)</f>
        <v>602jm!@</v>
      </c>
      <c r="I272" s="1" t="s">
        <v>16</v>
      </c>
      <c r="J272" s="1" t="s">
        <v>16</v>
      </c>
      <c r="K272" t="s">
        <v>264</v>
      </c>
      <c r="L272" t="s">
        <v>307</v>
      </c>
      <c r="M272" t="str">
        <f>IF(Tabela1[[#This Row],[Tipo_aval]]="auto","Ok",IF(ISERROR(VLOOKUP(Tabela1[[#This Row],[Participante]],Atualização!$B:$B,1,FALSE)),"Ok","Atualizar"))</f>
        <v>Ok</v>
      </c>
      <c r="N27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2" t="str">
        <f>IF(IFERROR(VLOOKUP(Tabela1[[#This Row],[Novo_Avaliador]],Usuários!$A:$B,2,FALSE),"")="","",IFERROR(VLOOKUP(Tabela1[[#This Row],[Novo_Avaliador]],Usuários!$A:$B,2,FALSE),""))</f>
        <v>thais.alves@enind.com.br</v>
      </c>
      <c r="P272" t="str">
        <f>IF(Tabela1[[#This Row],[Novo_Avaliador]]=Tabela1[[#This Row],[Avaliador]],"Sim","Não")</f>
        <v>Sim</v>
      </c>
      <c r="Q272" t="b">
        <f>Tabela1[[#This Row],[email_repres]]=Tabela1[[#This Row],[e-mail novo avaliador]]</f>
        <v>1</v>
      </c>
    </row>
    <row r="273" spans="1:17" x14ac:dyDescent="0.25">
      <c r="A273" t="s">
        <v>333</v>
      </c>
      <c r="B273" t="s">
        <v>52</v>
      </c>
      <c r="C273" t="s">
        <v>264</v>
      </c>
      <c r="D273" t="s">
        <v>297</v>
      </c>
      <c r="E273" s="2" t="str">
        <f>VLOOKUP(Tabela1[[#This Row],[Avaliador]],Usuários!A:I,COLUMN($H$1),0)</f>
        <v>thais.alves</v>
      </c>
      <c r="F273" s="2" t="str">
        <f>VLOOKUP(Tabela1[[#This Row],[Avaliador]],Usuários!$A:$I,COLUMN($I$1),0)</f>
        <v>751ta!@</v>
      </c>
      <c r="G273" s="2" t="str">
        <f>VLOOKUP(Tabela1[[#This Row],[Participante]],Usuários!$A:$I,COLUMN($H$1),0)</f>
        <v>joao.rodrigues</v>
      </c>
      <c r="H273" s="2" t="str">
        <f>VLOOKUP(Tabela1[[#This Row],[Participante]],Usuários!$A:$I,COLUMN($I$1),0)</f>
        <v>680jr!@</v>
      </c>
      <c r="I273" s="1" t="s">
        <v>16</v>
      </c>
      <c r="J273" s="1" t="s">
        <v>16</v>
      </c>
      <c r="K273" t="s">
        <v>264</v>
      </c>
      <c r="L273" t="s">
        <v>307</v>
      </c>
      <c r="M273" t="str">
        <f>IF(Tabela1[[#This Row],[Tipo_aval]]="auto","Ok",IF(ISERROR(VLOOKUP(Tabela1[[#This Row],[Participante]],Atualização!$B:$B,1,FALSE)),"Ok","Atualizar"))</f>
        <v>Ok</v>
      </c>
      <c r="N27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3" t="str">
        <f>IF(IFERROR(VLOOKUP(Tabela1[[#This Row],[Novo_Avaliador]],Usuários!$A:$B,2,FALSE),"")="","",IFERROR(VLOOKUP(Tabela1[[#This Row],[Novo_Avaliador]],Usuários!$A:$B,2,FALSE),""))</f>
        <v>thais.alves@enind.com.br</v>
      </c>
      <c r="P273" t="str">
        <f>IF(Tabela1[[#This Row],[Novo_Avaliador]]=Tabela1[[#This Row],[Avaliador]],"Sim","Não")</f>
        <v>Sim</v>
      </c>
      <c r="Q273" t="b">
        <f>Tabela1[[#This Row],[email_repres]]=Tabela1[[#This Row],[e-mail novo avaliador]]</f>
        <v>1</v>
      </c>
    </row>
    <row r="274" spans="1:17" x14ac:dyDescent="0.25">
      <c r="A274" t="s">
        <v>334</v>
      </c>
      <c r="B274" t="s">
        <v>52</v>
      </c>
      <c r="C274" t="s">
        <v>264</v>
      </c>
      <c r="D274" t="s">
        <v>297</v>
      </c>
      <c r="E274" s="2" t="str">
        <f>VLOOKUP(Tabela1[[#This Row],[Avaliador]],Usuários!A:I,COLUMN($H$1),0)</f>
        <v>thais.alves</v>
      </c>
      <c r="F274" s="2" t="str">
        <f>VLOOKUP(Tabela1[[#This Row],[Avaliador]],Usuários!$A:$I,COLUMN($I$1),0)</f>
        <v>751ta!@</v>
      </c>
      <c r="G274" s="2" t="str">
        <f>VLOOKUP(Tabela1[[#This Row],[Participante]],Usuários!$A:$I,COLUMN($H$1),0)</f>
        <v>luciene.rocha</v>
      </c>
      <c r="H274" s="2" t="str">
        <f>VLOOKUP(Tabela1[[#This Row],[Participante]],Usuários!$A:$I,COLUMN($I$1),0)</f>
        <v>894lr!@</v>
      </c>
      <c r="I274" s="1" t="s">
        <v>16</v>
      </c>
      <c r="J274" s="1" t="s">
        <v>16</v>
      </c>
      <c r="K274" t="s">
        <v>264</v>
      </c>
      <c r="L274" t="s">
        <v>307</v>
      </c>
      <c r="M274" t="str">
        <f>IF(Tabela1[[#This Row],[Tipo_aval]]="auto","Ok",IF(ISERROR(VLOOKUP(Tabela1[[#This Row],[Participante]],Atualização!$B:$B,1,FALSE)),"Ok","Atualizar"))</f>
        <v>Ok</v>
      </c>
      <c r="N27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4" t="str">
        <f>IF(IFERROR(VLOOKUP(Tabela1[[#This Row],[Novo_Avaliador]],Usuários!$A:$B,2,FALSE),"")="","",IFERROR(VLOOKUP(Tabela1[[#This Row],[Novo_Avaliador]],Usuários!$A:$B,2,FALSE),""))</f>
        <v>thais.alves@enind.com.br</v>
      </c>
      <c r="P274" t="str">
        <f>IF(Tabela1[[#This Row],[Novo_Avaliador]]=Tabela1[[#This Row],[Avaliador]],"Sim","Não")</f>
        <v>Sim</v>
      </c>
      <c r="Q274" t="b">
        <f>Tabela1[[#This Row],[email_repres]]=Tabela1[[#This Row],[e-mail novo avaliador]]</f>
        <v>1</v>
      </c>
    </row>
    <row r="275" spans="1:17" x14ac:dyDescent="0.25">
      <c r="A275" t="s">
        <v>339</v>
      </c>
      <c r="B275" t="s">
        <v>52</v>
      </c>
      <c r="C275" t="s">
        <v>264</v>
      </c>
      <c r="D275" t="s">
        <v>297</v>
      </c>
      <c r="E275" s="2" t="str">
        <f>VLOOKUP(Tabela1[[#This Row],[Avaliador]],Usuários!A:I,COLUMN($H$1),0)</f>
        <v>thais.alves</v>
      </c>
      <c r="F275" s="2" t="str">
        <f>VLOOKUP(Tabela1[[#This Row],[Avaliador]],Usuários!$A:$I,COLUMN($I$1),0)</f>
        <v>751ta!@</v>
      </c>
      <c r="G275" s="2" t="str">
        <f>VLOOKUP(Tabela1[[#This Row],[Participante]],Usuários!$A:$I,COLUMN($H$1),0)</f>
        <v>isabela.pinheiro</v>
      </c>
      <c r="H275" s="2" t="str">
        <f>VLOOKUP(Tabela1[[#This Row],[Participante]],Usuários!$A:$I,COLUMN($I$1),0)</f>
        <v>448ip!@</v>
      </c>
      <c r="I275" s="1" t="s">
        <v>16</v>
      </c>
      <c r="J275" s="1" t="s">
        <v>16</v>
      </c>
      <c r="K275" t="s">
        <v>264</v>
      </c>
      <c r="L275" t="s">
        <v>307</v>
      </c>
      <c r="M275" t="str">
        <f>IF(Tabela1[[#This Row],[Tipo_aval]]="auto","Ok",IF(ISERROR(VLOOKUP(Tabela1[[#This Row],[Participante]],Atualização!$B:$B,1,FALSE)),"Ok","Atualizar"))</f>
        <v>Ok</v>
      </c>
      <c r="N27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5" t="str">
        <f>IF(IFERROR(VLOOKUP(Tabela1[[#This Row],[Novo_Avaliador]],Usuários!$A:$B,2,FALSE),"")="","",IFERROR(VLOOKUP(Tabela1[[#This Row],[Novo_Avaliador]],Usuários!$A:$B,2,FALSE),""))</f>
        <v>thais.alves@enind.com.br</v>
      </c>
      <c r="P275" t="str">
        <f>IF(Tabela1[[#This Row],[Novo_Avaliador]]=Tabela1[[#This Row],[Avaliador]],"Sim","Não")</f>
        <v>Sim</v>
      </c>
      <c r="Q275" t="b">
        <f>Tabela1[[#This Row],[email_repres]]=Tabela1[[#This Row],[e-mail novo avaliador]]</f>
        <v>1</v>
      </c>
    </row>
    <row r="276" spans="1:17" x14ac:dyDescent="0.25">
      <c r="A276" t="s">
        <v>348</v>
      </c>
      <c r="B276" t="s">
        <v>52</v>
      </c>
      <c r="C276" t="s">
        <v>264</v>
      </c>
      <c r="D276" t="s">
        <v>297</v>
      </c>
      <c r="E276" s="2" t="str">
        <f>VLOOKUP(Tabela1[[#This Row],[Avaliador]],Usuários!A:I,COLUMN($H$1),0)</f>
        <v>thais.alves</v>
      </c>
      <c r="F276" s="2" t="str">
        <f>VLOOKUP(Tabela1[[#This Row],[Avaliador]],Usuários!$A:$I,COLUMN($I$1),0)</f>
        <v>751ta!@</v>
      </c>
      <c r="G276" s="2" t="str">
        <f>VLOOKUP(Tabela1[[#This Row],[Participante]],Usuários!$A:$I,COLUMN($H$1),0)</f>
        <v>marcia.santana</v>
      </c>
      <c r="H276" s="2" t="str">
        <f>VLOOKUP(Tabela1[[#This Row],[Participante]],Usuários!$A:$I,COLUMN($I$1),0)</f>
        <v>342ms!@</v>
      </c>
      <c r="I276" s="1" t="s">
        <v>16</v>
      </c>
      <c r="J276" s="1" t="s">
        <v>16</v>
      </c>
      <c r="K276" t="s">
        <v>264</v>
      </c>
      <c r="L276" t="s">
        <v>307</v>
      </c>
      <c r="M276" t="str">
        <f>IF(Tabela1[[#This Row],[Tipo_aval]]="auto","Ok",IF(ISERROR(VLOOKUP(Tabela1[[#This Row],[Participante]],Atualização!$B:$B,1,FALSE)),"Ok","Atualizar"))</f>
        <v>Ok</v>
      </c>
      <c r="N27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6" t="str">
        <f>IF(IFERROR(VLOOKUP(Tabela1[[#This Row],[Novo_Avaliador]],Usuários!$A:$B,2,FALSE),"")="","",IFERROR(VLOOKUP(Tabela1[[#This Row],[Novo_Avaliador]],Usuários!$A:$B,2,FALSE),""))</f>
        <v>thais.alves@enind.com.br</v>
      </c>
      <c r="P276" t="str">
        <f>IF(Tabela1[[#This Row],[Novo_Avaliador]]=Tabela1[[#This Row],[Avaliador]],"Sim","Não")</f>
        <v>Sim</v>
      </c>
      <c r="Q276" t="b">
        <f>Tabela1[[#This Row],[email_repres]]=Tabela1[[#This Row],[e-mail novo avaliador]]</f>
        <v>1</v>
      </c>
    </row>
    <row r="277" spans="1:17" x14ac:dyDescent="0.25">
      <c r="A277" t="s">
        <v>316</v>
      </c>
      <c r="B277" t="s">
        <v>52</v>
      </c>
      <c r="C277" t="s">
        <v>264</v>
      </c>
      <c r="D277" t="s">
        <v>303</v>
      </c>
      <c r="E277" s="2" t="str">
        <f>VLOOKUP(Tabela1[[#This Row],[Avaliador]],Usuários!A:I,COLUMN($H$1),0)</f>
        <v>thais.alves</v>
      </c>
      <c r="F277" s="2" t="str">
        <f>VLOOKUP(Tabela1[[#This Row],[Avaliador]],Usuários!$A:$I,COLUMN($I$1),0)</f>
        <v>751ta!@</v>
      </c>
      <c r="G277" s="2" t="str">
        <f>VLOOKUP(Tabela1[[#This Row],[Participante]],Usuários!$A:$I,COLUMN($H$1),0)</f>
        <v>alexandre.armelin</v>
      </c>
      <c r="H277" s="2" t="str">
        <f>VLOOKUP(Tabela1[[#This Row],[Participante]],Usuários!$A:$I,COLUMN($I$1),0)</f>
        <v>729aa!@</v>
      </c>
      <c r="I277" s="1" t="s">
        <v>16</v>
      </c>
      <c r="J277" s="1" t="s">
        <v>16</v>
      </c>
      <c r="K277" t="s">
        <v>264</v>
      </c>
      <c r="L277" t="s">
        <v>307</v>
      </c>
      <c r="M277" t="str">
        <f>IF(Tabela1[[#This Row],[Tipo_aval]]="auto","Ok",IF(ISERROR(VLOOKUP(Tabela1[[#This Row],[Participante]],Atualização!$B:$B,1,FALSE)),"Ok","Atualizar"))</f>
        <v>Ok</v>
      </c>
      <c r="N27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7" t="str">
        <f>IF(IFERROR(VLOOKUP(Tabela1[[#This Row],[Novo_Avaliador]],Usuários!$A:$B,2,FALSE),"")="","",IFERROR(VLOOKUP(Tabela1[[#This Row],[Novo_Avaliador]],Usuários!$A:$B,2,FALSE),""))</f>
        <v>thais.alves@enind.com.br</v>
      </c>
      <c r="P277" t="str">
        <f>IF(Tabela1[[#This Row],[Novo_Avaliador]]=Tabela1[[#This Row],[Avaliador]],"Sim","Não")</f>
        <v>Sim</v>
      </c>
      <c r="Q277" t="b">
        <f>Tabela1[[#This Row],[email_repres]]=Tabela1[[#This Row],[e-mail novo avaliador]]</f>
        <v>1</v>
      </c>
    </row>
    <row r="278" spans="1:17" x14ac:dyDescent="0.25">
      <c r="A278" t="s">
        <v>331</v>
      </c>
      <c r="B278" t="s">
        <v>52</v>
      </c>
      <c r="C278" t="s">
        <v>264</v>
      </c>
      <c r="D278" t="s">
        <v>303</v>
      </c>
      <c r="E278" s="2" t="str">
        <f>VLOOKUP(Tabela1[[#This Row],[Avaliador]],Usuários!A:I,COLUMN($H$1),0)</f>
        <v>thais.alves</v>
      </c>
      <c r="F278" s="2" t="str">
        <f>VLOOKUP(Tabela1[[#This Row],[Avaliador]],Usuários!$A:$I,COLUMN($I$1),0)</f>
        <v>751ta!@</v>
      </c>
      <c r="G278" s="2" t="str">
        <f>VLOOKUP(Tabela1[[#This Row],[Participante]],Usuários!$A:$I,COLUMN($H$1),0)</f>
        <v>igor.aranda</v>
      </c>
      <c r="H278" s="2" t="str">
        <f>VLOOKUP(Tabela1[[#This Row],[Participante]],Usuários!$A:$I,COLUMN($I$1),0)</f>
        <v>554ia!@</v>
      </c>
      <c r="I278" s="1" t="s">
        <v>16</v>
      </c>
      <c r="J278" s="1" t="s">
        <v>16</v>
      </c>
      <c r="K278" t="s">
        <v>264</v>
      </c>
      <c r="L278" t="s">
        <v>307</v>
      </c>
      <c r="M278" t="str">
        <f>IF(Tabela1[[#This Row],[Tipo_aval]]="auto","Ok",IF(ISERROR(VLOOKUP(Tabela1[[#This Row],[Participante]],Atualização!$B:$B,1,FALSE)),"Ok","Atualizar"))</f>
        <v>Ok</v>
      </c>
      <c r="N27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8" t="str">
        <f>IF(IFERROR(VLOOKUP(Tabela1[[#This Row],[Novo_Avaliador]],Usuários!$A:$B,2,FALSE),"")="","",IFERROR(VLOOKUP(Tabela1[[#This Row],[Novo_Avaliador]],Usuários!$A:$B,2,FALSE),""))</f>
        <v>thais.alves@enind.com.br</v>
      </c>
      <c r="P278" t="str">
        <f>IF(Tabela1[[#This Row],[Novo_Avaliador]]=Tabela1[[#This Row],[Avaliador]],"Sim","Não")</f>
        <v>Sim</v>
      </c>
      <c r="Q278" t="b">
        <f>Tabela1[[#This Row],[email_repres]]=Tabela1[[#This Row],[e-mail novo avaliador]]</f>
        <v>1</v>
      </c>
    </row>
    <row r="279" spans="1:17" x14ac:dyDescent="0.25">
      <c r="A279" t="s">
        <v>352</v>
      </c>
      <c r="B279" t="s">
        <v>52</v>
      </c>
      <c r="C279" t="s">
        <v>264</v>
      </c>
      <c r="D279" t="s">
        <v>303</v>
      </c>
      <c r="E279" s="2" t="str">
        <f>VLOOKUP(Tabela1[[#This Row],[Avaliador]],Usuários!A:I,COLUMN($H$1),0)</f>
        <v>thais.alves</v>
      </c>
      <c r="F279" s="2" t="str">
        <f>VLOOKUP(Tabela1[[#This Row],[Avaliador]],Usuários!$A:$I,COLUMN($I$1),0)</f>
        <v>751ta!@</v>
      </c>
      <c r="G279" s="2" t="str">
        <f>VLOOKUP(Tabela1[[#This Row],[Participante]],Usuários!$A:$I,COLUMN($H$1),0)</f>
        <v>vinicius.silva</v>
      </c>
      <c r="H279" s="2" t="str">
        <f>VLOOKUP(Tabela1[[#This Row],[Participante]],Usuários!$A:$I,COLUMN($I$1),0)</f>
        <v>512vs!@</v>
      </c>
      <c r="I279" s="1" t="s">
        <v>16</v>
      </c>
      <c r="J279" s="1" t="s">
        <v>16</v>
      </c>
      <c r="K279" t="s">
        <v>264</v>
      </c>
      <c r="L279" t="s">
        <v>307</v>
      </c>
      <c r="M279" t="str">
        <f>IF(Tabela1[[#This Row],[Tipo_aval]]="auto","Ok",IF(ISERROR(VLOOKUP(Tabela1[[#This Row],[Participante]],Atualização!$B:$B,1,FALSE)),"Ok","Atualizar"))</f>
        <v>Ok</v>
      </c>
      <c r="N27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Maria Thais Moreira Alves</v>
      </c>
      <c r="O279" t="str">
        <f>IF(IFERROR(VLOOKUP(Tabela1[[#This Row],[Novo_Avaliador]],Usuários!$A:$B,2,FALSE),"")="","",IFERROR(VLOOKUP(Tabela1[[#This Row],[Novo_Avaliador]],Usuários!$A:$B,2,FALSE),""))</f>
        <v>thais.alves@enind.com.br</v>
      </c>
      <c r="P279" t="str">
        <f>IF(Tabela1[[#This Row],[Novo_Avaliador]]=Tabela1[[#This Row],[Avaliador]],"Sim","Não")</f>
        <v>Sim</v>
      </c>
      <c r="Q279" t="b">
        <f>Tabela1[[#This Row],[email_repres]]=Tabela1[[#This Row],[e-mail novo avaliador]]</f>
        <v>1</v>
      </c>
    </row>
    <row r="280" spans="1:17" x14ac:dyDescent="0.25">
      <c r="A280" t="s">
        <v>351</v>
      </c>
      <c r="B280" t="s">
        <v>351</v>
      </c>
      <c r="C280" t="s">
        <v>388</v>
      </c>
      <c r="D280" t="s">
        <v>295</v>
      </c>
      <c r="E280" s="2" t="str">
        <f>VLOOKUP(Tabela1[[#This Row],[Avaliador]],Usuários!A:I,COLUMN($H$1),0)</f>
        <v>thais.oliveira</v>
      </c>
      <c r="F280" s="2" t="str">
        <f>VLOOKUP(Tabela1[[#This Row],[Avaliador]],Usuários!$A:$I,COLUMN($I$1),0)</f>
        <v>681to!@</v>
      </c>
      <c r="G280" s="2" t="str">
        <f>VLOOKUP(Tabela1[[#This Row],[Participante]],Usuários!$A:$I,COLUMN($H$1),0)</f>
        <v>thais.oliveira</v>
      </c>
      <c r="H280" s="2" t="str">
        <f>VLOOKUP(Tabela1[[#This Row],[Participante]],Usuários!$A:$I,COLUMN($I$1),0)</f>
        <v>681to!@</v>
      </c>
      <c r="I280" s="1" t="s">
        <v>6</v>
      </c>
      <c r="J280" s="1" t="s">
        <v>16</v>
      </c>
      <c r="K280" t="s">
        <v>388</v>
      </c>
      <c r="L280" t="s">
        <v>307</v>
      </c>
      <c r="M280" t="str">
        <f>IF(Tabela1[[#This Row],[Tipo_aval]]="auto","Ok",IF(ISERROR(VLOOKUP(Tabela1[[#This Row],[Participante]],Atualização!$B:$B,1,FALSE)),"Ok","Atualizar"))</f>
        <v>Ok</v>
      </c>
      <c r="N28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Thais Sousa de Oliveira</v>
      </c>
      <c r="O280" t="str">
        <f>IF(IFERROR(VLOOKUP(Tabela1[[#This Row],[Novo_Avaliador]],Usuários!$A:$B,2,FALSE),"")="","",IFERROR(VLOOKUP(Tabela1[[#This Row],[Novo_Avaliador]],Usuários!$A:$B,2,FALSE),""))</f>
        <v>thais.oliveira@enind.com.br</v>
      </c>
      <c r="P280" t="str">
        <f>IF(Tabela1[[#This Row],[Novo_Avaliador]]=Tabela1[[#This Row],[Avaliador]],"Sim","Não")</f>
        <v>Sim</v>
      </c>
      <c r="Q280" t="b">
        <f>Tabela1[[#This Row],[email_repres]]=Tabela1[[#This Row],[e-mail novo avaliador]]</f>
        <v>1</v>
      </c>
    </row>
    <row r="281" spans="1:17" x14ac:dyDescent="0.25">
      <c r="A281" s="2" t="s">
        <v>268</v>
      </c>
      <c r="B281" s="2" t="s">
        <v>268</v>
      </c>
      <c r="C281" s="2" t="s">
        <v>269</v>
      </c>
      <c r="D281" s="2" t="s">
        <v>295</v>
      </c>
      <c r="E281" s="2" t="str">
        <f>VLOOKUP(Tabela1[[#This Row],[Avaliador]],Usuários!A:I,COLUMN($H$1),0)</f>
        <v>thelma.alves</v>
      </c>
      <c r="F281" s="2" t="str">
        <f>VLOOKUP(Tabela1[[#This Row],[Avaliador]],Usuários!$A:$I,COLUMN($I$1),0)</f>
        <v>371ta!@</v>
      </c>
      <c r="G281" s="2" t="str">
        <f>VLOOKUP(Tabela1[[#This Row],[Participante]],Usuários!$A:$I,COLUMN($H$1),0)</f>
        <v>thelma.alves</v>
      </c>
      <c r="H281" s="2" t="str">
        <f>VLOOKUP(Tabela1[[#This Row],[Participante]],Usuários!$A:$I,COLUMN($I$1),0)</f>
        <v>371ta!@</v>
      </c>
      <c r="I281" s="1" t="s">
        <v>6</v>
      </c>
      <c r="J281" s="1" t="s">
        <v>16</v>
      </c>
      <c r="K281" t="s">
        <v>269</v>
      </c>
      <c r="L281" t="s">
        <v>307</v>
      </c>
      <c r="M281" t="str">
        <f>IF(Tabela1[[#This Row],[Tipo_aval]]="auto","Ok",IF(ISERROR(VLOOKUP(Tabela1[[#This Row],[Participante]],Atualização!$B:$B,1,FALSE)),"Ok","Atualizar"))</f>
        <v>Ok</v>
      </c>
      <c r="N28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Thelma Christina de Oliveira Alves</v>
      </c>
      <c r="O281" t="str">
        <f>IF(IFERROR(VLOOKUP(Tabela1[[#This Row],[Novo_Avaliador]],Usuários!$A:$B,2,FALSE),"")="","",IFERROR(VLOOKUP(Tabela1[[#This Row],[Novo_Avaliador]],Usuários!$A:$B,2,FALSE),""))</f>
        <v>thelma.alves@enind.com.br</v>
      </c>
      <c r="P281" t="str">
        <f>IF(Tabela1[[#This Row],[Novo_Avaliador]]=Tabela1[[#This Row],[Avaliador]],"Sim","Não")</f>
        <v>Sim</v>
      </c>
      <c r="Q281" t="b">
        <f>Tabela1[[#This Row],[email_repres]]=Tabela1[[#This Row],[e-mail novo avaliador]]</f>
        <v>1</v>
      </c>
    </row>
    <row r="282" spans="1:17" x14ac:dyDescent="0.25">
      <c r="A282" s="2" t="s">
        <v>94</v>
      </c>
      <c r="B282" s="2" t="s">
        <v>94</v>
      </c>
      <c r="C282" s="2" t="s">
        <v>271</v>
      </c>
      <c r="D282" s="2" t="s">
        <v>295</v>
      </c>
      <c r="E282" s="2" t="str">
        <f>VLOOKUP(Tabela1[[#This Row],[Avaliador]],Usuários!A:I,COLUMN($H$1),0)</f>
        <v>thiago.oliveira</v>
      </c>
      <c r="F282" s="2" t="str">
        <f>VLOOKUP(Tabela1[[#This Row],[Avaliador]],Usuários!$A:$I,COLUMN($I$1),0)</f>
        <v>891to!@</v>
      </c>
      <c r="G282" s="2" t="str">
        <f>VLOOKUP(Tabela1[[#This Row],[Participante]],Usuários!$A:$I,COLUMN($H$1),0)</f>
        <v>thiago.oliveira</v>
      </c>
      <c r="H282" s="2" t="str">
        <f>VLOOKUP(Tabela1[[#This Row],[Participante]],Usuários!$A:$I,COLUMN($I$1),0)</f>
        <v>891to!@</v>
      </c>
      <c r="I282" s="1" t="s">
        <v>6</v>
      </c>
      <c r="J282" s="1" t="s">
        <v>16</v>
      </c>
      <c r="K282" t="s">
        <v>271</v>
      </c>
      <c r="L282" t="s">
        <v>309</v>
      </c>
      <c r="M282" t="str">
        <f>IF(Tabela1[[#This Row],[Tipo_aval]]="auto","Ok",IF(ISERROR(VLOOKUP(Tabela1[[#This Row],[Participante]],Atualização!$B:$B,1,FALSE)),"Ok","Atualizar"))</f>
        <v>Ok</v>
      </c>
      <c r="N28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2" t="str">
        <f>IF(IFERROR(VLOOKUP(Tabela1[[#This Row],[Novo_Avaliador]],Usuários!$A:$B,2,FALSE),"")="","",IFERROR(VLOOKUP(Tabela1[[#This Row],[Novo_Avaliador]],Usuários!$A:$B,2,FALSE),""))</f>
        <v>thiago.oliveira@enind.com.br</v>
      </c>
      <c r="P282" t="str">
        <f>IF(Tabela1[[#This Row],[Novo_Avaliador]]=Tabela1[[#This Row],[Avaliador]],"Sim","Não")</f>
        <v>Sim</v>
      </c>
      <c r="Q282" t="b">
        <f>Tabela1[[#This Row],[email_repres]]=Tabela1[[#This Row],[e-mail novo avaliador]]</f>
        <v>1</v>
      </c>
    </row>
    <row r="283" spans="1:17" x14ac:dyDescent="0.25">
      <c r="A283" s="2" t="s">
        <v>274</v>
      </c>
      <c r="B283" s="2" t="s">
        <v>94</v>
      </c>
      <c r="C283" s="2" t="s">
        <v>271</v>
      </c>
      <c r="D283" s="2" t="s">
        <v>297</v>
      </c>
      <c r="E283" s="2" t="str">
        <f>VLOOKUP(Tabela1[[#This Row],[Avaliador]],Usuários!A:I,COLUMN($H$1),0)</f>
        <v>thiago.oliveira</v>
      </c>
      <c r="F283" s="2" t="str">
        <f>VLOOKUP(Tabela1[[#This Row],[Avaliador]],Usuários!$A:$I,COLUMN($I$1),0)</f>
        <v>891to!@</v>
      </c>
      <c r="G283" s="2" t="str">
        <f>VLOOKUP(Tabela1[[#This Row],[Participante]],Usuários!$A:$I,COLUMN($H$1),0)</f>
        <v>thiago.rodrigues</v>
      </c>
      <c r="H283" s="2" t="str">
        <f>VLOOKUP(Tabela1[[#This Row],[Participante]],Usuários!$A:$I,COLUMN($I$1),0)</f>
        <v>722tr!@</v>
      </c>
      <c r="I283" s="1" t="s">
        <v>16</v>
      </c>
      <c r="J283" s="1" t="s">
        <v>16</v>
      </c>
      <c r="K283" t="str">
        <f>Tabela1[[#This Row],[Email]]</f>
        <v>thiago.oliveira@enind.com.br</v>
      </c>
      <c r="L283" t="s">
        <v>309</v>
      </c>
      <c r="M283" t="str">
        <f>IF(Tabela1[[#This Row],[Tipo_aval]]="auto","Ok",IF(ISERROR(VLOOKUP(Tabela1[[#This Row],[Participante]],Atualização!$B:$B,1,FALSE)),"Ok","Atualizar"))</f>
        <v>Atualizar</v>
      </c>
      <c r="N28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3" t="str">
        <f>IF(IFERROR(VLOOKUP(Tabela1[[#This Row],[Novo_Avaliador]],Usuários!$A:$B,2,FALSE),"")="","",IFERROR(VLOOKUP(Tabela1[[#This Row],[Novo_Avaliador]],Usuários!$A:$B,2,FALSE),""))</f>
        <v>thiago.oliveira@enind.com.br</v>
      </c>
      <c r="P283" t="str">
        <f>IF(Tabela1[[#This Row],[Novo_Avaliador]]=Tabela1[[#This Row],[Avaliador]],"Sim","Não")</f>
        <v>Sim</v>
      </c>
      <c r="Q283" t="b">
        <f>Tabela1[[#This Row],[email_repres]]=Tabela1[[#This Row],[e-mail novo avaliador]]</f>
        <v>1</v>
      </c>
    </row>
    <row r="284" spans="1:17" x14ac:dyDescent="0.25">
      <c r="A284" t="s">
        <v>272</v>
      </c>
      <c r="B284" t="s">
        <v>94</v>
      </c>
      <c r="C284" t="s">
        <v>271</v>
      </c>
      <c r="D284" t="s">
        <v>297</v>
      </c>
      <c r="E284" s="2" t="str">
        <f>VLOOKUP(Tabela1[[#This Row],[Avaliador]],Usuários!A:I,COLUMN($H$1),0)</f>
        <v>thiago.oliveira</v>
      </c>
      <c r="F284" s="2" t="str">
        <f>VLOOKUP(Tabela1[[#This Row],[Avaliador]],Usuários!$A:$I,COLUMN($I$1),0)</f>
        <v>891to!@</v>
      </c>
      <c r="G284" s="2" t="str">
        <f>VLOOKUP(Tabela1[[#This Row],[Participante]],Usuários!$A:$I,COLUMN($H$1),0)</f>
        <v>wagner.ferreira</v>
      </c>
      <c r="H284" s="2" t="str">
        <f>VLOOKUP(Tabela1[[#This Row],[Participante]],Usuários!$A:$I,COLUMN($I$1),0)</f>
        <v>260wf!@</v>
      </c>
      <c r="I284" s="1" t="s">
        <v>16</v>
      </c>
      <c r="J284" s="1" t="s">
        <v>16</v>
      </c>
      <c r="K284" t="s">
        <v>271</v>
      </c>
      <c r="L284" t="s">
        <v>307</v>
      </c>
      <c r="M284" t="str">
        <f>IF(Tabela1[[#This Row],[Tipo_aval]]="auto","Ok",IF(ISERROR(VLOOKUP(Tabela1[[#This Row],[Participante]],Atualização!$B:$B,1,FALSE)),"Ok","Atualizar"))</f>
        <v>Ok</v>
      </c>
      <c r="N28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4" t="str">
        <f>IF(IFERROR(VLOOKUP(Tabela1[[#This Row],[Novo_Avaliador]],Usuários!$A:$B,2,FALSE),"")="","",IFERROR(VLOOKUP(Tabela1[[#This Row],[Novo_Avaliador]],Usuários!$A:$B,2,FALSE),""))</f>
        <v>thiago.oliveira@enind.com.br</v>
      </c>
      <c r="P284" t="str">
        <f>IF(Tabela1[[#This Row],[Novo_Avaliador]]=Tabela1[[#This Row],[Avaliador]],"Sim","Não")</f>
        <v>Sim</v>
      </c>
      <c r="Q284" t="b">
        <f>Tabela1[[#This Row],[email_repres]]=Tabela1[[#This Row],[e-mail novo avaliador]]</f>
        <v>1</v>
      </c>
    </row>
    <row r="285" spans="1:17" x14ac:dyDescent="0.25">
      <c r="A285" s="2" t="s">
        <v>196</v>
      </c>
      <c r="B285" s="2" t="s">
        <v>94</v>
      </c>
      <c r="C285" s="2" t="s">
        <v>271</v>
      </c>
      <c r="D285" s="2" t="s">
        <v>303</v>
      </c>
      <c r="E285" s="2" t="str">
        <f>VLOOKUP(Tabela1[[#This Row],[Avaliador]],Usuários!A:I,COLUMN($H$1),0)</f>
        <v>thiago.oliveira</v>
      </c>
      <c r="F285" s="2" t="str">
        <f>VLOOKUP(Tabela1[[#This Row],[Avaliador]],Usuários!$A:$I,COLUMN($I$1),0)</f>
        <v>891to!@</v>
      </c>
      <c r="G285" s="2" t="str">
        <f>VLOOKUP(Tabela1[[#This Row],[Participante]],Usuários!$A:$I,COLUMN($H$1),0)</f>
        <v>janderson.alves</v>
      </c>
      <c r="H285" s="2" t="str">
        <f>VLOOKUP(Tabela1[[#This Row],[Participante]],Usuários!$A:$I,COLUMN($I$1),0)</f>
        <v>834ja!@</v>
      </c>
      <c r="I285" s="1" t="s">
        <v>16</v>
      </c>
      <c r="J285" s="1" t="s">
        <v>16</v>
      </c>
      <c r="K285" t="s">
        <v>271</v>
      </c>
      <c r="L285" t="s">
        <v>307</v>
      </c>
      <c r="M285" t="str">
        <f>IF(Tabela1[[#This Row],[Tipo_aval]]="auto","Ok",IF(ISERROR(VLOOKUP(Tabela1[[#This Row],[Participante]],Atualização!$B:$B,1,FALSE)),"Ok","Atualizar"))</f>
        <v>Ok</v>
      </c>
      <c r="N28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5" t="str">
        <f>IF(IFERROR(VLOOKUP(Tabela1[[#This Row],[Novo_Avaliador]],Usuários!$A:$B,2,FALSE),"")="","",IFERROR(VLOOKUP(Tabela1[[#This Row],[Novo_Avaliador]],Usuários!$A:$B,2,FALSE),""))</f>
        <v>thiago.oliveira@enind.com.br</v>
      </c>
      <c r="P285" t="str">
        <f>IF(Tabela1[[#This Row],[Novo_Avaliador]]=Tabela1[[#This Row],[Avaliador]],"Sim","Não")</f>
        <v>Sim</v>
      </c>
      <c r="Q285" t="b">
        <f>Tabela1[[#This Row],[email_repres]]=Tabela1[[#This Row],[e-mail novo avaliador]]</f>
        <v>1</v>
      </c>
    </row>
    <row r="286" spans="1:17" x14ac:dyDescent="0.25">
      <c r="A286" t="s">
        <v>260</v>
      </c>
      <c r="B286" t="s">
        <v>94</v>
      </c>
      <c r="C286" t="s">
        <v>271</v>
      </c>
      <c r="D286" t="s">
        <v>303</v>
      </c>
      <c r="E286" s="2" t="str">
        <f>VLOOKUP(Tabela1[[#This Row],[Avaliador]],Usuários!A:I,COLUMN($H$1),0)</f>
        <v>thiago.oliveira</v>
      </c>
      <c r="F286" s="2" t="str">
        <f>VLOOKUP(Tabela1[[#This Row],[Avaliador]],Usuários!$A:$I,COLUMN($I$1),0)</f>
        <v>891to!@</v>
      </c>
      <c r="G286" s="2" t="str">
        <f>VLOOKUP(Tabela1[[#This Row],[Participante]],Usuários!$A:$I,COLUMN($H$1),0)</f>
        <v>ronierison.siqueira</v>
      </c>
      <c r="H286" s="2" t="str">
        <f>VLOOKUP(Tabela1[[#This Row],[Participante]],Usuários!$A:$I,COLUMN($I$1),0)</f>
        <v>938rs!@</v>
      </c>
      <c r="I286" s="1" t="s">
        <v>16</v>
      </c>
      <c r="J286" s="1" t="s">
        <v>16</v>
      </c>
      <c r="K286" t="s">
        <v>271</v>
      </c>
      <c r="L286" t="s">
        <v>307</v>
      </c>
      <c r="M286" t="str">
        <f>IF(Tabela1[[#This Row],[Tipo_aval]]="auto","Ok",IF(ISERROR(VLOOKUP(Tabela1[[#This Row],[Participante]],Atualização!$B:$B,1,FALSE)),"Ok","Atualizar"))</f>
        <v>Ok</v>
      </c>
      <c r="N28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6" t="str">
        <f>IF(IFERROR(VLOOKUP(Tabela1[[#This Row],[Novo_Avaliador]],Usuários!$A:$B,2,FALSE),"")="","",IFERROR(VLOOKUP(Tabela1[[#This Row],[Novo_Avaliador]],Usuários!$A:$B,2,FALSE),""))</f>
        <v>thiago.oliveira@enind.com.br</v>
      </c>
      <c r="P286" t="str">
        <f>IF(Tabela1[[#This Row],[Novo_Avaliador]]=Tabela1[[#This Row],[Avaliador]],"Sim","Não")</f>
        <v>Sim</v>
      </c>
      <c r="Q286" t="b">
        <f>Tabela1[[#This Row],[email_repres]]=Tabela1[[#This Row],[e-mail novo avaliador]]</f>
        <v>1</v>
      </c>
    </row>
    <row r="287" spans="1:17" x14ac:dyDescent="0.25">
      <c r="A287" t="s">
        <v>320</v>
      </c>
      <c r="B287" t="s">
        <v>94</v>
      </c>
      <c r="C287" t="s">
        <v>271</v>
      </c>
      <c r="D287" t="s">
        <v>297</v>
      </c>
      <c r="E287" s="2" t="str">
        <f>VLOOKUP(Tabela1[[#This Row],[Avaliador]],Usuários!A:I,COLUMN($H$1),0)</f>
        <v>thiago.oliveira</v>
      </c>
      <c r="F287" s="2" t="str">
        <f>VLOOKUP(Tabela1[[#This Row],[Avaliador]],Usuários!$A:$I,COLUMN($I$1),0)</f>
        <v>891to!@</v>
      </c>
      <c r="G287" s="2" t="str">
        <f>VLOOKUP(Tabela1[[#This Row],[Participante]],Usuários!$A:$I,COLUMN($H$1),0)</f>
        <v>andre.nascimento</v>
      </c>
      <c r="H287" s="2" t="str">
        <f>VLOOKUP(Tabela1[[#This Row],[Participante]],Usuários!$A:$I,COLUMN($I$1),0)</f>
        <v>813an!@</v>
      </c>
      <c r="I287" s="1" t="s">
        <v>16</v>
      </c>
      <c r="J287" s="1" t="s">
        <v>16</v>
      </c>
      <c r="K287" t="s">
        <v>271</v>
      </c>
      <c r="L287" t="s">
        <v>307</v>
      </c>
      <c r="M287" t="str">
        <f>IF(Tabela1[[#This Row],[Tipo_aval]]="auto","Ok",IF(ISERROR(VLOOKUP(Tabela1[[#This Row],[Participante]],Atualização!$B:$B,1,FALSE)),"Ok","Atualizar"))</f>
        <v>Ok</v>
      </c>
      <c r="N28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7" t="str">
        <f>IF(IFERROR(VLOOKUP(Tabela1[[#This Row],[Novo_Avaliador]],Usuários!$A:$B,2,FALSE),"")="","",IFERROR(VLOOKUP(Tabela1[[#This Row],[Novo_Avaliador]],Usuários!$A:$B,2,FALSE),""))</f>
        <v>thiago.oliveira@enind.com.br</v>
      </c>
      <c r="P287" t="str">
        <f>IF(Tabela1[[#This Row],[Novo_Avaliador]]=Tabela1[[#This Row],[Avaliador]],"Sim","Não")</f>
        <v>Sim</v>
      </c>
      <c r="Q287" t="b">
        <f>Tabela1[[#This Row],[email_repres]]=Tabela1[[#This Row],[e-mail novo avaliador]]</f>
        <v>1</v>
      </c>
    </row>
    <row r="288" spans="1:17" x14ac:dyDescent="0.25">
      <c r="A288" t="s">
        <v>329</v>
      </c>
      <c r="B288" t="s">
        <v>94</v>
      </c>
      <c r="C288" t="s">
        <v>271</v>
      </c>
      <c r="D288" t="s">
        <v>297</v>
      </c>
      <c r="E288" s="2" t="str">
        <f>VLOOKUP(Tabela1[[#This Row],[Avaliador]],Usuários!A:I,COLUMN($H$1),0)</f>
        <v>thiago.oliveira</v>
      </c>
      <c r="F288" s="2" t="str">
        <f>VLOOKUP(Tabela1[[#This Row],[Avaliador]],Usuários!$A:$I,COLUMN($I$1),0)</f>
        <v>891to!@</v>
      </c>
      <c r="G288" s="2" t="str">
        <f>VLOOKUP(Tabela1[[#This Row],[Participante]],Usuários!$A:$I,COLUMN($H$1),0)</f>
        <v>eder.fernandes</v>
      </c>
      <c r="H288" s="2" t="str">
        <f>VLOOKUP(Tabela1[[#This Row],[Participante]],Usuários!$A:$I,COLUMN($I$1),0)</f>
        <v>130ef!@</v>
      </c>
      <c r="I288" s="1" t="s">
        <v>16</v>
      </c>
      <c r="J288" s="1" t="s">
        <v>16</v>
      </c>
      <c r="K288" t="s">
        <v>271</v>
      </c>
      <c r="L288" t="s">
        <v>307</v>
      </c>
      <c r="M288" t="str">
        <f>IF(Tabela1[[#This Row],[Tipo_aval]]="auto","Ok",IF(ISERROR(VLOOKUP(Tabela1[[#This Row],[Participante]],Atualização!$B:$B,1,FALSE)),"Ok","Atualizar"))</f>
        <v>Ok</v>
      </c>
      <c r="N28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8" t="str">
        <f>IF(IFERROR(VLOOKUP(Tabela1[[#This Row],[Novo_Avaliador]],Usuários!$A:$B,2,FALSE),"")="","",IFERROR(VLOOKUP(Tabela1[[#This Row],[Novo_Avaliador]],Usuários!$A:$B,2,FALSE),""))</f>
        <v>thiago.oliveira@enind.com.br</v>
      </c>
      <c r="P288" t="str">
        <f>IF(Tabela1[[#This Row],[Novo_Avaliador]]=Tabela1[[#This Row],[Avaliador]],"Sim","Não")</f>
        <v>Sim</v>
      </c>
      <c r="Q288" t="b">
        <f>Tabela1[[#This Row],[email_repres]]=Tabela1[[#This Row],[e-mail novo avaliador]]</f>
        <v>1</v>
      </c>
    </row>
    <row r="289" spans="1:17" x14ac:dyDescent="0.25">
      <c r="A289" t="s">
        <v>330</v>
      </c>
      <c r="B289" t="s">
        <v>94</v>
      </c>
      <c r="C289" t="s">
        <v>271</v>
      </c>
      <c r="D289" t="s">
        <v>297</v>
      </c>
      <c r="E289" s="2" t="str">
        <f>VLOOKUP(Tabela1[[#This Row],[Avaliador]],Usuários!A:I,COLUMN($H$1),0)</f>
        <v>thiago.oliveira</v>
      </c>
      <c r="F289" s="2" t="str">
        <f>VLOOKUP(Tabela1[[#This Row],[Avaliador]],Usuários!$A:$I,COLUMN($I$1),0)</f>
        <v>891to!@</v>
      </c>
      <c r="G289" s="2" t="str">
        <f>VLOOKUP(Tabela1[[#This Row],[Participante]],Usuários!$A:$I,COLUMN($H$1),0)</f>
        <v>emerson.leo</v>
      </c>
      <c r="H289" s="2" t="str">
        <f>VLOOKUP(Tabela1[[#This Row],[Participante]],Usuários!$A:$I,COLUMN($I$1),0)</f>
        <v>714el!@</v>
      </c>
      <c r="I289" s="1" t="s">
        <v>16</v>
      </c>
      <c r="J289" s="1" t="s">
        <v>16</v>
      </c>
      <c r="K289" t="s">
        <v>271</v>
      </c>
      <c r="L289" t="s">
        <v>307</v>
      </c>
      <c r="M289" t="str">
        <f>IF(Tabela1[[#This Row],[Tipo_aval]]="auto","Ok",IF(ISERROR(VLOOKUP(Tabela1[[#This Row],[Participante]],Atualização!$B:$B,1,FALSE)),"Ok","Atualizar"))</f>
        <v>Ok</v>
      </c>
      <c r="N28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89" t="str">
        <f>IF(IFERROR(VLOOKUP(Tabela1[[#This Row],[Novo_Avaliador]],Usuários!$A:$B,2,FALSE),"")="","",IFERROR(VLOOKUP(Tabela1[[#This Row],[Novo_Avaliador]],Usuários!$A:$B,2,FALSE),""))</f>
        <v>thiago.oliveira@enind.com.br</v>
      </c>
      <c r="P289" t="str">
        <f>IF(Tabela1[[#This Row],[Novo_Avaliador]]=Tabela1[[#This Row],[Avaliador]],"Sim","Não")</f>
        <v>Sim</v>
      </c>
      <c r="Q289" t="b">
        <f>Tabela1[[#This Row],[email_repres]]=Tabela1[[#This Row],[e-mail novo avaliador]]</f>
        <v>1</v>
      </c>
    </row>
    <row r="290" spans="1:17" x14ac:dyDescent="0.25">
      <c r="A290" t="s">
        <v>335</v>
      </c>
      <c r="B290" t="s">
        <v>94</v>
      </c>
      <c r="C290" t="s">
        <v>271</v>
      </c>
      <c r="D290" t="s">
        <v>297</v>
      </c>
      <c r="E290" s="2" t="str">
        <f>VLOOKUP(Tabela1[[#This Row],[Avaliador]],Usuários!A:I,COLUMN($H$1),0)</f>
        <v>thiago.oliveira</v>
      </c>
      <c r="F290" s="2" t="str">
        <f>VLOOKUP(Tabela1[[#This Row],[Avaliador]],Usuários!$A:$I,COLUMN($I$1),0)</f>
        <v>891to!@</v>
      </c>
      <c r="G290" s="2" t="str">
        <f>VLOOKUP(Tabela1[[#This Row],[Participante]],Usuários!$A:$I,COLUMN($H$1),0)</f>
        <v>jose.filho</v>
      </c>
      <c r="H290" s="2" t="str">
        <f>VLOOKUP(Tabela1[[#This Row],[Participante]],Usuários!$A:$I,COLUMN($I$1),0)</f>
        <v>058jf!@</v>
      </c>
      <c r="I290" s="1" t="s">
        <v>16</v>
      </c>
      <c r="J290" s="1" t="s">
        <v>16</v>
      </c>
      <c r="K290" t="s">
        <v>271</v>
      </c>
      <c r="L290" t="s">
        <v>307</v>
      </c>
      <c r="M290" t="str">
        <f>IF(Tabela1[[#This Row],[Tipo_aval]]="auto","Ok",IF(ISERROR(VLOOKUP(Tabela1[[#This Row],[Participante]],Atualização!$B:$B,1,FALSE)),"Ok","Atualizar"))</f>
        <v>Ok</v>
      </c>
      <c r="N29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90" t="str">
        <f>IF(IFERROR(VLOOKUP(Tabela1[[#This Row],[Novo_Avaliador]],Usuários!$A:$B,2,FALSE),"")="","",IFERROR(VLOOKUP(Tabela1[[#This Row],[Novo_Avaliador]],Usuários!$A:$B,2,FALSE),""))</f>
        <v>thiago.oliveira@enind.com.br</v>
      </c>
      <c r="P290" t="str">
        <f>IF(Tabela1[[#This Row],[Novo_Avaliador]]=Tabela1[[#This Row],[Avaliador]],"Sim","Não")</f>
        <v>Sim</v>
      </c>
      <c r="Q290" t="b">
        <f>Tabela1[[#This Row],[email_repres]]=Tabela1[[#This Row],[e-mail novo avaliador]]</f>
        <v>1</v>
      </c>
    </row>
    <row r="291" spans="1:17" x14ac:dyDescent="0.25">
      <c r="A291" t="s">
        <v>341</v>
      </c>
      <c r="B291" t="s">
        <v>94</v>
      </c>
      <c r="C291" t="s">
        <v>271</v>
      </c>
      <c r="D291" t="s">
        <v>297</v>
      </c>
      <c r="E291" s="2" t="str">
        <f>VLOOKUP(Tabela1[[#This Row],[Avaliador]],Usuários!A:I,COLUMN($H$1),0)</f>
        <v>thiago.oliveira</v>
      </c>
      <c r="F291" s="2" t="str">
        <f>VLOOKUP(Tabela1[[#This Row],[Avaliador]],Usuários!$A:$I,COLUMN($I$1),0)</f>
        <v>891to!@</v>
      </c>
      <c r="G291" s="2" t="str">
        <f>VLOOKUP(Tabela1[[#This Row],[Participante]],Usuários!$A:$I,COLUMN($H$1),0)</f>
        <v>marcos.queiroz</v>
      </c>
      <c r="H291" s="2" t="str">
        <f>VLOOKUP(Tabela1[[#This Row],[Participante]],Usuários!$A:$I,COLUMN($I$1),0)</f>
        <v>684mq!@</v>
      </c>
      <c r="I291" s="1" t="s">
        <v>16</v>
      </c>
      <c r="J291" s="1" t="s">
        <v>16</v>
      </c>
      <c r="K291" t="s">
        <v>271</v>
      </c>
      <c r="L291" t="s">
        <v>307</v>
      </c>
      <c r="M291" t="str">
        <f>IF(Tabela1[[#This Row],[Tipo_aval]]="auto","Ok",IF(ISERROR(VLOOKUP(Tabela1[[#This Row],[Participante]],Atualização!$B:$B,1,FALSE)),"Ok","Atualizar"))</f>
        <v>Ok</v>
      </c>
      <c r="N29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91" t="str">
        <f>IF(IFERROR(VLOOKUP(Tabela1[[#This Row],[Novo_Avaliador]],Usuários!$A:$B,2,FALSE),"")="","",IFERROR(VLOOKUP(Tabela1[[#This Row],[Novo_Avaliador]],Usuários!$A:$B,2,FALSE),""))</f>
        <v>thiago.oliveira@enind.com.br</v>
      </c>
      <c r="P291" t="str">
        <f>IF(Tabela1[[#This Row],[Novo_Avaliador]]=Tabela1[[#This Row],[Avaliador]],"Sim","Não")</f>
        <v>Sim</v>
      </c>
      <c r="Q291" t="b">
        <f>Tabela1[[#This Row],[email_repres]]=Tabela1[[#This Row],[e-mail novo avaliador]]</f>
        <v>1</v>
      </c>
    </row>
    <row r="292" spans="1:17" x14ac:dyDescent="0.25">
      <c r="A292" t="s">
        <v>323</v>
      </c>
      <c r="B292" t="s">
        <v>94</v>
      </c>
      <c r="C292" t="s">
        <v>271</v>
      </c>
      <c r="D292" t="s">
        <v>303</v>
      </c>
      <c r="E292" s="2" t="str">
        <f>VLOOKUP(Tabela1[[#This Row],[Avaliador]],Usuários!A:I,COLUMN($H$1),0)</f>
        <v>thiago.oliveira</v>
      </c>
      <c r="F292" s="2" t="str">
        <f>VLOOKUP(Tabela1[[#This Row],[Avaliador]],Usuários!$A:$I,COLUMN($I$1),0)</f>
        <v>891to!@</v>
      </c>
      <c r="G292" s="2" t="str">
        <f>VLOOKUP(Tabela1[[#This Row],[Participante]],Usuários!$A:$I,COLUMN($H$1),0)</f>
        <v>augusto.junqueira</v>
      </c>
      <c r="H292" s="2" t="str">
        <f>VLOOKUP(Tabela1[[#This Row],[Participante]],Usuários!$A:$I,COLUMN($I$1),0)</f>
        <v>100aj!@</v>
      </c>
      <c r="I292" s="1" t="s">
        <v>16</v>
      </c>
      <c r="J292" s="1" t="s">
        <v>16</v>
      </c>
      <c r="K292" t="s">
        <v>271</v>
      </c>
      <c r="L292" t="s">
        <v>307</v>
      </c>
      <c r="M292" t="str">
        <f>IF(Tabela1[[#This Row],[Tipo_aval]]="auto","Ok",IF(ISERROR(VLOOKUP(Tabela1[[#This Row],[Participante]],Atualização!$B:$B,1,FALSE)),"Ok","Atualizar"))</f>
        <v>Ok</v>
      </c>
      <c r="N29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92" t="str">
        <f>IF(IFERROR(VLOOKUP(Tabela1[[#This Row],[Novo_Avaliador]],Usuários!$A:$B,2,FALSE),"")="","",IFERROR(VLOOKUP(Tabela1[[#This Row],[Novo_Avaliador]],Usuários!$A:$B,2,FALSE),""))</f>
        <v>thiago.oliveira@enind.com.br</v>
      </c>
      <c r="P292" t="str">
        <f>IF(Tabela1[[#This Row],[Novo_Avaliador]]=Tabela1[[#This Row],[Avaliador]],"Sim","Não")</f>
        <v>Sim</v>
      </c>
      <c r="Q292" t="b">
        <f>Tabela1[[#This Row],[email_repres]]=Tabela1[[#This Row],[e-mail novo avaliador]]</f>
        <v>1</v>
      </c>
    </row>
    <row r="293" spans="1:17" x14ac:dyDescent="0.25">
      <c r="A293" t="s">
        <v>91</v>
      </c>
      <c r="B293" t="s">
        <v>94</v>
      </c>
      <c r="C293" t="s">
        <v>271</v>
      </c>
      <c r="D293" t="s">
        <v>297</v>
      </c>
      <c r="E293" s="2" t="str">
        <f>VLOOKUP(Tabela1[[#This Row],[Avaliador]],Usuários!A:I,COLUMN($H$1),0)</f>
        <v>thiago.oliveira</v>
      </c>
      <c r="F293" s="2" t="str">
        <f>VLOOKUP(Tabela1[[#This Row],[Avaliador]],Usuários!$A:$I,COLUMN($I$1),0)</f>
        <v>891to!@</v>
      </c>
      <c r="G293" s="2" t="str">
        <f>VLOOKUP(Tabela1[[#This Row],[Participante]],Usuários!$A:$I,COLUMN($H$1),0)</f>
        <v>ediberto.pescaroli</v>
      </c>
      <c r="H293" s="2" t="str">
        <f>VLOOKUP(Tabela1[[#This Row],[Participante]],Usuários!$A:$I,COLUMN($I$1),0)</f>
        <v>160ep!@</v>
      </c>
      <c r="I293" s="1" t="s">
        <v>16</v>
      </c>
      <c r="J293" s="1" t="s">
        <v>16</v>
      </c>
      <c r="K293" t="str">
        <f>Tabela1[[#This Row],[Email]]</f>
        <v>thiago.oliveira@enind.com.br</v>
      </c>
      <c r="L293" t="s">
        <v>307</v>
      </c>
      <c r="M293" t="str">
        <f>IF(Tabela1[[#This Row],[Tipo_aval]]="auto","Ok",IF(ISERROR(VLOOKUP(Tabela1[[#This Row],[Participante]],Atualização!$B:$B,1,FALSE)),"Ok","Atualizar"))</f>
        <v>Atualizar</v>
      </c>
      <c r="N29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Santana de Oliveira</v>
      </c>
      <c r="O293" t="str">
        <f>IF(IFERROR(VLOOKUP(Tabela1[[#This Row],[Novo_Avaliador]],Usuários!$A:$B,2,FALSE),"")="","",IFERROR(VLOOKUP(Tabela1[[#This Row],[Novo_Avaliador]],Usuários!$A:$B,2,FALSE),""))</f>
        <v>thiago.oliveira@enind.com.br</v>
      </c>
      <c r="P293" t="str">
        <f>IF(Tabela1[[#This Row],[Novo_Avaliador]]=Tabela1[[#This Row],[Avaliador]],"Sim","Não")</f>
        <v>Sim</v>
      </c>
      <c r="Q293" t="b">
        <f>Tabela1[[#This Row],[email_repres]]=Tabela1[[#This Row],[e-mail novo avaliador]]</f>
        <v>1</v>
      </c>
    </row>
    <row r="294" spans="1:17" x14ac:dyDescent="0.25">
      <c r="A294" s="2" t="s">
        <v>274</v>
      </c>
      <c r="B294" s="2" t="s">
        <v>274</v>
      </c>
      <c r="C294" s="2" t="s">
        <v>276</v>
      </c>
      <c r="D294" s="2" t="s">
        <v>295</v>
      </c>
      <c r="E294" s="2" t="str">
        <f>VLOOKUP(Tabela1[[#This Row],[Avaliador]],Usuários!A:I,COLUMN($H$1),0)</f>
        <v>thiago.rodrigues</v>
      </c>
      <c r="F294" s="2" t="str">
        <f>VLOOKUP(Tabela1[[#This Row],[Avaliador]],Usuários!$A:$I,COLUMN($I$1),0)</f>
        <v>722tr!@</v>
      </c>
      <c r="G294" s="2" t="str">
        <f>VLOOKUP(Tabela1[[#This Row],[Participante]],Usuários!$A:$I,COLUMN($H$1),0)</f>
        <v>thiago.rodrigues</v>
      </c>
      <c r="H294" s="2" t="str">
        <f>VLOOKUP(Tabela1[[#This Row],[Participante]],Usuários!$A:$I,COLUMN($I$1),0)</f>
        <v>722tr!@</v>
      </c>
      <c r="I294" s="1" t="s">
        <v>6</v>
      </c>
      <c r="J294" s="1" t="s">
        <v>16</v>
      </c>
      <c r="K294" t="s">
        <v>276</v>
      </c>
      <c r="L294" t="s">
        <v>309</v>
      </c>
      <c r="M294" t="str">
        <f>IF(Tabela1[[#This Row],[Tipo_aval]]="auto","Ok",IF(ISERROR(VLOOKUP(Tabela1[[#This Row],[Participante]],Atualização!$B:$B,1,FALSE)),"Ok","Atualizar"))</f>
        <v>Ok</v>
      </c>
      <c r="N29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Thiago de Moura Rodrigues</v>
      </c>
      <c r="O294" t="str">
        <f>IF(IFERROR(VLOOKUP(Tabela1[[#This Row],[Novo_Avaliador]],Usuários!$A:$B,2,FALSE),"")="","",IFERROR(VLOOKUP(Tabela1[[#This Row],[Novo_Avaliador]],Usuários!$A:$B,2,FALSE),""))</f>
        <v>thiago.rodrigues@enind.com.br</v>
      </c>
      <c r="P294" t="str">
        <f>IF(Tabela1[[#This Row],[Novo_Avaliador]]=Tabela1[[#This Row],[Avaliador]],"Sim","Não")</f>
        <v>Sim</v>
      </c>
      <c r="Q294" t="b">
        <f>Tabela1[[#This Row],[email_repres]]=Tabela1[[#This Row],[e-mail novo avaliador]]</f>
        <v>1</v>
      </c>
    </row>
    <row r="295" spans="1:17" x14ac:dyDescent="0.25">
      <c r="A295" s="2" t="s">
        <v>277</v>
      </c>
      <c r="B295" s="2" t="s">
        <v>277</v>
      </c>
      <c r="C295" s="2" t="s">
        <v>278</v>
      </c>
      <c r="D295" s="2" t="s">
        <v>295</v>
      </c>
      <c r="E295" s="2" t="str">
        <f>VLOOKUP(Tabela1[[#This Row],[Avaliador]],Usuários!A:I,COLUMN($H$1),0)</f>
        <v>ubiara.batista</v>
      </c>
      <c r="F295" s="2" t="str">
        <f>VLOOKUP(Tabela1[[#This Row],[Avaliador]],Usuários!$A:$I,COLUMN($I$1),0)</f>
        <v>868ub!@</v>
      </c>
      <c r="G295" s="2" t="str">
        <f>VLOOKUP(Tabela1[[#This Row],[Participante]],Usuários!$A:$I,COLUMN($H$1),0)</f>
        <v>ubiara.batista</v>
      </c>
      <c r="H295" s="2" t="str">
        <f>VLOOKUP(Tabela1[[#This Row],[Participante]],Usuários!$A:$I,COLUMN($I$1),0)</f>
        <v>868ub!@</v>
      </c>
      <c r="I295" s="1" t="s">
        <v>6</v>
      </c>
      <c r="J295" s="1" t="s">
        <v>16</v>
      </c>
      <c r="K295" t="s">
        <v>278</v>
      </c>
      <c r="L295" t="s">
        <v>307</v>
      </c>
      <c r="M295" t="str">
        <f>IF(Tabela1[[#This Row],[Tipo_aval]]="auto","Ok",IF(ISERROR(VLOOKUP(Tabela1[[#This Row],[Participante]],Atualização!$B:$B,1,FALSE)),"Ok","Atualizar"))</f>
        <v>Ok</v>
      </c>
      <c r="N29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Ubiara Athaide dos Santos Batista</v>
      </c>
      <c r="O295" t="str">
        <f>IF(IFERROR(VLOOKUP(Tabela1[[#This Row],[Novo_Avaliador]],Usuários!$A:$B,2,FALSE),"")="","",IFERROR(VLOOKUP(Tabela1[[#This Row],[Novo_Avaliador]],Usuários!$A:$B,2,FALSE),""))</f>
        <v>ubiara.batista@enind.com.br</v>
      </c>
      <c r="P295" t="str">
        <f>IF(Tabela1[[#This Row],[Novo_Avaliador]]=Tabela1[[#This Row],[Avaliador]],"Sim","Não")</f>
        <v>Sim</v>
      </c>
      <c r="Q295" t="b">
        <f>Tabela1[[#This Row],[email_repres]]=Tabela1[[#This Row],[e-mail novo avaliador]]</f>
        <v>1</v>
      </c>
    </row>
    <row r="296" spans="1:17" x14ac:dyDescent="0.25">
      <c r="A296" s="2" t="s">
        <v>31</v>
      </c>
      <c r="B296" s="2" t="s">
        <v>31</v>
      </c>
      <c r="C296" s="2" t="s">
        <v>280</v>
      </c>
      <c r="D296" s="2" t="s">
        <v>295</v>
      </c>
      <c r="E296" s="2" t="str">
        <f>VLOOKUP(Tabela1[[#This Row],[Avaliador]],Usuários!A:I,COLUMN($H$1),0)</f>
        <v>valeria.souza</v>
      </c>
      <c r="F296" s="2" t="str">
        <f>VLOOKUP(Tabela1[[#This Row],[Avaliador]],Usuários!$A:$I,COLUMN($I$1),0)</f>
        <v>110vs!@</v>
      </c>
      <c r="G296" s="2" t="str">
        <f>VLOOKUP(Tabela1[[#This Row],[Participante]],Usuários!$A:$I,COLUMN($H$1),0)</f>
        <v>valeria.souza</v>
      </c>
      <c r="H296" s="2" t="str">
        <f>VLOOKUP(Tabela1[[#This Row],[Participante]],Usuários!$A:$I,COLUMN($I$1),0)</f>
        <v>110vs!@</v>
      </c>
      <c r="I296" s="1" t="s">
        <v>6</v>
      </c>
      <c r="J296" s="1" t="s">
        <v>16</v>
      </c>
      <c r="K296" t="s">
        <v>280</v>
      </c>
      <c r="L296" t="s">
        <v>309</v>
      </c>
      <c r="M296" t="str">
        <f>IF(Tabela1[[#This Row],[Tipo_aval]]="auto","Ok",IF(ISERROR(VLOOKUP(Tabela1[[#This Row],[Participante]],Atualização!$B:$B,1,FALSE)),"Ok","Atualizar"))</f>
        <v>Ok</v>
      </c>
      <c r="N29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296" t="str">
        <f>IF(IFERROR(VLOOKUP(Tabela1[[#This Row],[Novo_Avaliador]],Usuários!$A:$B,2,FALSE),"")="","",IFERROR(VLOOKUP(Tabela1[[#This Row],[Novo_Avaliador]],Usuários!$A:$B,2,FALSE),""))</f>
        <v>valeria.souza@enind.com.br</v>
      </c>
      <c r="P296" t="str">
        <f>IF(Tabela1[[#This Row],[Novo_Avaliador]]=Tabela1[[#This Row],[Avaliador]],"Sim","Não")</f>
        <v>Sim</v>
      </c>
      <c r="Q296" t="b">
        <f>Tabela1[[#This Row],[email_repres]]=Tabela1[[#This Row],[e-mail novo avaliador]]</f>
        <v>1</v>
      </c>
    </row>
    <row r="297" spans="1:17" x14ac:dyDescent="0.25">
      <c r="A297" s="2" t="s">
        <v>245</v>
      </c>
      <c r="B297" s="2" t="s">
        <v>31</v>
      </c>
      <c r="C297" s="2" t="s">
        <v>280</v>
      </c>
      <c r="D297" s="2" t="s">
        <v>297</v>
      </c>
      <c r="E297" s="2" t="str">
        <f>VLOOKUP(Tabela1[[#This Row],[Avaliador]],Usuários!A:I,COLUMN($H$1),0)</f>
        <v>valeria.souza</v>
      </c>
      <c r="F297" s="2" t="str">
        <f>VLOOKUP(Tabela1[[#This Row],[Avaliador]],Usuários!$A:$I,COLUMN($I$1),0)</f>
        <v>110vs!@</v>
      </c>
      <c r="G297" s="2" t="str">
        <f>VLOOKUP(Tabela1[[#This Row],[Participante]],Usuários!$A:$I,COLUMN($H$1),0)</f>
        <v>pablo.almeida</v>
      </c>
      <c r="H297" s="2" t="str">
        <f>VLOOKUP(Tabela1[[#This Row],[Participante]],Usuários!$A:$I,COLUMN($I$1),0)</f>
        <v>287pa!@</v>
      </c>
      <c r="I297" s="1" t="s">
        <v>16</v>
      </c>
      <c r="J297" s="1" t="s">
        <v>16</v>
      </c>
      <c r="K297" t="s">
        <v>280</v>
      </c>
      <c r="L297" t="s">
        <v>307</v>
      </c>
      <c r="M297" t="str">
        <f>IF(Tabela1[[#This Row],[Tipo_aval]]="auto","Ok",IF(ISERROR(VLOOKUP(Tabela1[[#This Row],[Participante]],Atualização!$B:$B,1,FALSE)),"Ok","Atualizar"))</f>
        <v>Ok</v>
      </c>
      <c r="N29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297" t="str">
        <f>IF(IFERROR(VLOOKUP(Tabela1[[#This Row],[Novo_Avaliador]],Usuários!$A:$B,2,FALSE),"")="","",IFERROR(VLOOKUP(Tabela1[[#This Row],[Novo_Avaliador]],Usuários!$A:$B,2,FALSE),""))</f>
        <v>valeria.souza@enind.com.br</v>
      </c>
      <c r="P297" t="str">
        <f>IF(Tabela1[[#This Row],[Novo_Avaliador]]=Tabela1[[#This Row],[Avaliador]],"Sim","Não")</f>
        <v>Sim</v>
      </c>
      <c r="Q297" t="b">
        <f>Tabela1[[#This Row],[email_repres]]=Tabela1[[#This Row],[e-mail novo avaliador]]</f>
        <v>1</v>
      </c>
    </row>
    <row r="298" spans="1:17" x14ac:dyDescent="0.25">
      <c r="A298" s="2" t="s">
        <v>268</v>
      </c>
      <c r="B298" s="2" t="s">
        <v>31</v>
      </c>
      <c r="C298" s="2" t="s">
        <v>280</v>
      </c>
      <c r="D298" s="2" t="s">
        <v>297</v>
      </c>
      <c r="E298" s="2" t="str">
        <f>VLOOKUP(Tabela1[[#This Row],[Avaliador]],Usuários!A:I,COLUMN($H$1),0)</f>
        <v>valeria.souza</v>
      </c>
      <c r="F298" s="2" t="str">
        <f>VLOOKUP(Tabela1[[#This Row],[Avaliador]],Usuários!$A:$I,COLUMN($I$1),0)</f>
        <v>110vs!@</v>
      </c>
      <c r="G298" s="2" t="str">
        <f>VLOOKUP(Tabela1[[#This Row],[Participante]],Usuários!$A:$I,COLUMN($H$1),0)</f>
        <v>thelma.alves</v>
      </c>
      <c r="H298" s="2" t="str">
        <f>VLOOKUP(Tabela1[[#This Row],[Participante]],Usuários!$A:$I,COLUMN($I$1),0)</f>
        <v>371ta!@</v>
      </c>
      <c r="I298" s="1" t="s">
        <v>16</v>
      </c>
      <c r="J298" s="1" t="s">
        <v>16</v>
      </c>
      <c r="K298" t="s">
        <v>280</v>
      </c>
      <c r="L298" t="s">
        <v>307</v>
      </c>
      <c r="M298" t="str">
        <f>IF(Tabela1[[#This Row],[Tipo_aval]]="auto","Ok",IF(ISERROR(VLOOKUP(Tabela1[[#This Row],[Participante]],Atualização!$B:$B,1,FALSE)),"Ok","Atualizar"))</f>
        <v>Ok</v>
      </c>
      <c r="N29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298" t="str">
        <f>IF(IFERROR(VLOOKUP(Tabela1[[#This Row],[Novo_Avaliador]],Usuários!$A:$B,2,FALSE),"")="","",IFERROR(VLOOKUP(Tabela1[[#This Row],[Novo_Avaliador]],Usuários!$A:$B,2,FALSE),""))</f>
        <v>valeria.souza@enind.com.br</v>
      </c>
      <c r="P298" t="str">
        <f>IF(Tabela1[[#This Row],[Novo_Avaliador]]=Tabela1[[#This Row],[Avaliador]],"Sim","Não")</f>
        <v>Sim</v>
      </c>
      <c r="Q298" t="b">
        <f>Tabela1[[#This Row],[email_repres]]=Tabela1[[#This Row],[e-mail novo avaliador]]</f>
        <v>1</v>
      </c>
    </row>
    <row r="299" spans="1:17" x14ac:dyDescent="0.25">
      <c r="A299" s="2" t="s">
        <v>27</v>
      </c>
      <c r="B299" s="2" t="s">
        <v>31</v>
      </c>
      <c r="C299" s="2" t="s">
        <v>280</v>
      </c>
      <c r="D299" s="2" t="s">
        <v>303</v>
      </c>
      <c r="E299" s="2" t="str">
        <f>VLOOKUP(Tabela1[[#This Row],[Avaliador]],Usuários!A:I,COLUMN($H$1),0)</f>
        <v>valeria.souza</v>
      </c>
      <c r="F299" s="2" t="str">
        <f>VLOOKUP(Tabela1[[#This Row],[Avaliador]],Usuários!$A:$I,COLUMN($I$1),0)</f>
        <v>110vs!@</v>
      </c>
      <c r="G299" s="2" t="str">
        <f>VLOOKUP(Tabela1[[#This Row],[Participante]],Usuários!$A:$I,COLUMN($H$1),0)</f>
        <v>alexandro.araujo</v>
      </c>
      <c r="H299" s="2" t="str">
        <f>VLOOKUP(Tabela1[[#This Row],[Participante]],Usuários!$A:$I,COLUMN($I$1),0)</f>
        <v>240aa!@</v>
      </c>
      <c r="I299" s="1" t="s">
        <v>16</v>
      </c>
      <c r="J299" s="1" t="s">
        <v>16</v>
      </c>
      <c r="K299" t="s">
        <v>280</v>
      </c>
      <c r="L299" t="s">
        <v>307</v>
      </c>
      <c r="M299" t="str">
        <f>IF(Tabela1[[#This Row],[Tipo_aval]]="auto","Ok",IF(ISERROR(VLOOKUP(Tabela1[[#This Row],[Participante]],Atualização!$B:$B,1,FALSE)),"Ok","Atualizar"))</f>
        <v>Ok</v>
      </c>
      <c r="N29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299" t="str">
        <f>IF(IFERROR(VLOOKUP(Tabela1[[#This Row],[Novo_Avaliador]],Usuários!$A:$B,2,FALSE),"")="","",IFERROR(VLOOKUP(Tabela1[[#This Row],[Novo_Avaliador]],Usuários!$A:$B,2,FALSE),""))</f>
        <v>valeria.souza@enind.com.br</v>
      </c>
      <c r="P299" t="str">
        <f>IF(Tabela1[[#This Row],[Novo_Avaliador]]=Tabela1[[#This Row],[Avaliador]],"Sim","Não")</f>
        <v>Sim</v>
      </c>
      <c r="Q299" t="b">
        <f>Tabela1[[#This Row],[email_repres]]=Tabela1[[#This Row],[e-mail novo avaliador]]</f>
        <v>1</v>
      </c>
    </row>
    <row r="300" spans="1:17" x14ac:dyDescent="0.25">
      <c r="A300" t="s">
        <v>68</v>
      </c>
      <c r="B300" t="s">
        <v>31</v>
      </c>
      <c r="C300" t="s">
        <v>280</v>
      </c>
      <c r="D300" t="s">
        <v>303</v>
      </c>
      <c r="E300" s="2" t="str">
        <f>VLOOKUP(Tabela1[[#This Row],[Avaliador]],Usuários!A:I,COLUMN($H$1),0)</f>
        <v>valeria.souza</v>
      </c>
      <c r="F300" s="2" t="str">
        <f>VLOOKUP(Tabela1[[#This Row],[Avaliador]],Usuários!$A:$I,COLUMN($I$1),0)</f>
        <v>110vs!@</v>
      </c>
      <c r="G300" s="2" t="str">
        <f>VLOOKUP(Tabela1[[#This Row],[Participante]],Usuários!$A:$I,COLUMN($H$1),0)</f>
        <v>luana.silva</v>
      </c>
      <c r="H300" s="2" t="str">
        <f>VLOOKUP(Tabela1[[#This Row],[Participante]],Usuários!$A:$I,COLUMN($I$1),0)</f>
        <v>292ls!@</v>
      </c>
      <c r="I300" s="1" t="s">
        <v>16</v>
      </c>
      <c r="J300" s="1" t="s">
        <v>16</v>
      </c>
      <c r="K300" t="s">
        <v>280</v>
      </c>
      <c r="L300" t="s">
        <v>307</v>
      </c>
      <c r="M300" t="str">
        <f>IF(Tabela1[[#This Row],[Tipo_aval]]="auto","Ok",IF(ISERROR(VLOOKUP(Tabela1[[#This Row],[Participante]],Atualização!$B:$B,1,FALSE)),"Ok","Atualizar"))</f>
        <v>Ok</v>
      </c>
      <c r="N30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300" t="str">
        <f>IF(IFERROR(VLOOKUP(Tabela1[[#This Row],[Novo_Avaliador]],Usuários!$A:$B,2,FALSE),"")="","",IFERROR(VLOOKUP(Tabela1[[#This Row],[Novo_Avaliador]],Usuários!$A:$B,2,FALSE),""))</f>
        <v>valeria.souza@enind.com.br</v>
      </c>
      <c r="P300" t="str">
        <f>IF(Tabela1[[#This Row],[Novo_Avaliador]]=Tabela1[[#This Row],[Avaliador]],"Sim","Não")</f>
        <v>Sim</v>
      </c>
      <c r="Q300" t="b">
        <f>Tabela1[[#This Row],[email_repres]]=Tabela1[[#This Row],[e-mail novo avaliador]]</f>
        <v>1</v>
      </c>
    </row>
    <row r="301" spans="1:17" x14ac:dyDescent="0.25">
      <c r="A301" t="s">
        <v>351</v>
      </c>
      <c r="B301" t="s">
        <v>31</v>
      </c>
      <c r="C301" t="s">
        <v>280</v>
      </c>
      <c r="D301" t="s">
        <v>297</v>
      </c>
      <c r="E301" s="2" t="str">
        <f>VLOOKUP(Tabela1[[#This Row],[Avaliador]],Usuários!A:I,COLUMN($H$1),0)</f>
        <v>valeria.souza</v>
      </c>
      <c r="F301" s="2" t="str">
        <f>VLOOKUP(Tabela1[[#This Row],[Avaliador]],Usuários!$A:$I,COLUMN($I$1),0)</f>
        <v>110vs!@</v>
      </c>
      <c r="G301" s="2" t="str">
        <f>VLOOKUP(Tabela1[[#This Row],[Participante]],Usuários!$A:$I,COLUMN($H$1),0)</f>
        <v>thais.oliveira</v>
      </c>
      <c r="H301" s="2" t="str">
        <f>VLOOKUP(Tabela1[[#This Row],[Participante]],Usuários!$A:$I,COLUMN($I$1),0)</f>
        <v>681to!@</v>
      </c>
      <c r="I301" s="1" t="s">
        <v>16</v>
      </c>
      <c r="J301" s="1" t="s">
        <v>16</v>
      </c>
      <c r="K301" t="s">
        <v>280</v>
      </c>
      <c r="L301" t="s">
        <v>307</v>
      </c>
      <c r="M301" t="str">
        <f>IF(Tabela1[[#This Row],[Tipo_aval]]="auto","Ok",IF(ISERROR(VLOOKUP(Tabela1[[#This Row],[Participante]],Atualização!$B:$B,1,FALSE)),"Ok","Atualizar"))</f>
        <v>Ok</v>
      </c>
      <c r="N30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301" t="str">
        <f>IF(IFERROR(VLOOKUP(Tabela1[[#This Row],[Novo_Avaliador]],Usuários!$A:$B,2,FALSE),"")="","",IFERROR(VLOOKUP(Tabela1[[#This Row],[Novo_Avaliador]],Usuários!$A:$B,2,FALSE),""))</f>
        <v>valeria.souza@enind.com.br</v>
      </c>
      <c r="P301" t="str">
        <f>IF(Tabela1[[#This Row],[Novo_Avaliador]]=Tabela1[[#This Row],[Avaliador]],"Sim","Não")</f>
        <v>Sim</v>
      </c>
      <c r="Q301" t="b">
        <f>Tabela1[[#This Row],[email_repres]]=Tabela1[[#This Row],[e-mail novo avaliador]]</f>
        <v>1</v>
      </c>
    </row>
    <row r="302" spans="1:17" x14ac:dyDescent="0.25">
      <c r="A302" t="s">
        <v>317</v>
      </c>
      <c r="B302" t="s">
        <v>31</v>
      </c>
      <c r="C302" t="s">
        <v>280</v>
      </c>
      <c r="D302" t="s">
        <v>303</v>
      </c>
      <c r="E302" s="2" t="str">
        <f>VLOOKUP(Tabela1[[#This Row],[Avaliador]],Usuários!A:I,COLUMN($H$1),0)</f>
        <v>valeria.souza</v>
      </c>
      <c r="F302" s="2" t="str">
        <f>VLOOKUP(Tabela1[[#This Row],[Avaliador]],Usuários!$A:$I,COLUMN($I$1),0)</f>
        <v>110vs!@</v>
      </c>
      <c r="G302" s="2" t="str">
        <f>VLOOKUP(Tabela1[[#This Row],[Participante]],Usuários!$A:$I,COLUMN($H$1),0)</f>
        <v>amanda.paixao</v>
      </c>
      <c r="H302" s="2" t="str">
        <f>VLOOKUP(Tabela1[[#This Row],[Participante]],Usuários!$A:$I,COLUMN($I$1),0)</f>
        <v>634ap!@</v>
      </c>
      <c r="I302" s="1" t="s">
        <v>16</v>
      </c>
      <c r="J302" s="1" t="s">
        <v>16</v>
      </c>
      <c r="K302" t="s">
        <v>280</v>
      </c>
      <c r="L302" t="s">
        <v>307</v>
      </c>
      <c r="M302" t="str">
        <f>IF(Tabela1[[#This Row],[Tipo_aval]]="auto","Ok",IF(ISERROR(VLOOKUP(Tabela1[[#This Row],[Participante]],Atualização!$B:$B,1,FALSE)),"Ok","Atualizar"))</f>
        <v>Ok</v>
      </c>
      <c r="N30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Valeria Carvalho Souza</v>
      </c>
      <c r="O302" t="str">
        <f>IF(IFERROR(VLOOKUP(Tabela1[[#This Row],[Novo_Avaliador]],Usuários!$A:$B,2,FALSE),"")="","",IFERROR(VLOOKUP(Tabela1[[#This Row],[Novo_Avaliador]],Usuários!$A:$B,2,FALSE),""))</f>
        <v>valeria.souza@enind.com.br</v>
      </c>
      <c r="P302" t="str">
        <f>IF(Tabela1[[#This Row],[Novo_Avaliador]]=Tabela1[[#This Row],[Avaliador]],"Sim","Não")</f>
        <v>Sim</v>
      </c>
      <c r="Q302" t="b">
        <f>Tabela1[[#This Row],[email_repres]]=Tabela1[[#This Row],[e-mail novo avaliador]]</f>
        <v>1</v>
      </c>
    </row>
    <row r="303" spans="1:17" x14ac:dyDescent="0.25">
      <c r="A303" s="2" t="s">
        <v>281</v>
      </c>
      <c r="B303" s="2" t="s">
        <v>281</v>
      </c>
      <c r="C303" s="2" t="s">
        <v>282</v>
      </c>
      <c r="D303" s="2" t="s">
        <v>295</v>
      </c>
      <c r="E303" s="2" t="str">
        <f>VLOOKUP(Tabela1[[#This Row],[Avaliador]],Usuários!A:I,COLUMN($H$1),0)</f>
        <v>vinicius.silva</v>
      </c>
      <c r="F303" s="2" t="str">
        <f>VLOOKUP(Tabela1[[#This Row],[Avaliador]],Usuários!$A:$I,COLUMN($I$1),0)</f>
        <v>410vs!@</v>
      </c>
      <c r="G303" s="2" t="str">
        <f>VLOOKUP(Tabela1[[#This Row],[Participante]],Usuários!$A:$I,COLUMN($H$1),0)</f>
        <v>vinicius.silva</v>
      </c>
      <c r="H303" s="2" t="str">
        <f>VLOOKUP(Tabela1[[#This Row],[Participante]],Usuários!$A:$I,COLUMN($I$1),0)</f>
        <v>410vs!@</v>
      </c>
      <c r="I303" s="1" t="s">
        <v>6</v>
      </c>
      <c r="J303" s="1" t="s">
        <v>16</v>
      </c>
      <c r="K303" t="s">
        <v>282</v>
      </c>
      <c r="L303" t="s">
        <v>307</v>
      </c>
      <c r="M303" t="str">
        <f>IF(Tabela1[[#This Row],[Tipo_aval]]="auto","Ok",IF(ISERROR(VLOOKUP(Tabela1[[#This Row],[Participante]],Atualização!$B:$B,1,FALSE)),"Ok","Atualizar"))</f>
        <v>Ok</v>
      </c>
      <c r="N30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Vinicius Welber da Silva Eugenio</v>
      </c>
      <c r="O303" t="str">
        <f>IF(IFERROR(VLOOKUP(Tabela1[[#This Row],[Novo_Avaliador]],Usuários!$A:$B,2,FALSE),"")="","",IFERROR(VLOOKUP(Tabela1[[#This Row],[Novo_Avaliador]],Usuários!$A:$B,2,FALSE),""))</f>
        <v>vinicius.silva@enind.com.br</v>
      </c>
      <c r="P303" t="str">
        <f>IF(Tabela1[[#This Row],[Novo_Avaliador]]=Tabela1[[#This Row],[Avaliador]],"Sim","Não")</f>
        <v>Sim</v>
      </c>
      <c r="Q303" t="b">
        <f>Tabela1[[#This Row],[email_repres]]=Tabela1[[#This Row],[e-mail novo avaliador]]</f>
        <v>1</v>
      </c>
    </row>
    <row r="304" spans="1:17" x14ac:dyDescent="0.25">
      <c r="A304" t="s">
        <v>352</v>
      </c>
      <c r="B304" t="s">
        <v>352</v>
      </c>
      <c r="C304" t="s">
        <v>282</v>
      </c>
      <c r="D304" t="s">
        <v>295</v>
      </c>
      <c r="E304" s="2" t="str">
        <f>VLOOKUP(Tabela1[[#This Row],[Avaliador]],Usuários!A:I,COLUMN($H$1),0)</f>
        <v>vinicius.silva</v>
      </c>
      <c r="F304" s="2" t="str">
        <f>VLOOKUP(Tabela1[[#This Row],[Avaliador]],Usuários!$A:$I,COLUMN($I$1),0)</f>
        <v>512vs!@</v>
      </c>
      <c r="G304" s="2" t="str">
        <f>VLOOKUP(Tabela1[[#This Row],[Participante]],Usuários!$A:$I,COLUMN($H$1),0)</f>
        <v>vinicius.silva</v>
      </c>
      <c r="H304" s="2" t="str">
        <f>VLOOKUP(Tabela1[[#This Row],[Participante]],Usuários!$A:$I,COLUMN($I$1),0)</f>
        <v>512vs!@</v>
      </c>
      <c r="I304" s="1" t="s">
        <v>6</v>
      </c>
      <c r="J304" s="1" t="s">
        <v>16</v>
      </c>
      <c r="K304" t="s">
        <v>282</v>
      </c>
      <c r="L304" t="s">
        <v>307</v>
      </c>
      <c r="M304" t="str">
        <f>IF(Tabela1[[#This Row],[Tipo_aval]]="auto","Ok",IF(ISERROR(VLOOKUP(Tabela1[[#This Row],[Participante]],Atualização!$B:$B,1,FALSE)),"Ok","Atualizar"))</f>
        <v>Ok</v>
      </c>
      <c r="N30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Vinicius Araujo da Silva</v>
      </c>
      <c r="O304" t="str">
        <f>IF(IFERROR(VLOOKUP(Tabela1[[#This Row],[Novo_Avaliador]],Usuários!$A:$B,2,FALSE),"")="","",IFERROR(VLOOKUP(Tabela1[[#This Row],[Novo_Avaliador]],Usuários!$A:$B,2,FALSE),""))</f>
        <v>vinicius.silva@enind.com.br</v>
      </c>
      <c r="P304" t="str">
        <f>IF(Tabela1[[#This Row],[Novo_Avaliador]]=Tabela1[[#This Row],[Avaliador]],"Sim","Não")</f>
        <v>Sim</v>
      </c>
      <c r="Q304" t="b">
        <f>Tabela1[[#This Row],[email_repres]]=Tabela1[[#This Row],[e-mail novo avaliador]]</f>
        <v>1</v>
      </c>
    </row>
    <row r="305" spans="1:17" x14ac:dyDescent="0.25">
      <c r="A305" s="2" t="s">
        <v>266</v>
      </c>
      <c r="B305" s="2" t="s">
        <v>266</v>
      </c>
      <c r="C305" s="2" t="s">
        <v>284</v>
      </c>
      <c r="D305" s="2" t="s">
        <v>295</v>
      </c>
      <c r="E305" s="2" t="str">
        <f>VLOOKUP(Tabela1[[#This Row],[Avaliador]],Usuários!A:I,COLUMN($H$1),0)</f>
        <v>vinicius.xisto</v>
      </c>
      <c r="F305" s="2" t="str">
        <f>VLOOKUP(Tabela1[[#This Row],[Avaliador]],Usuários!$A:$I,COLUMN($I$1),0)</f>
        <v>790vx!@</v>
      </c>
      <c r="G305" s="2" t="str">
        <f>VLOOKUP(Tabela1[[#This Row],[Participante]],Usuários!$A:$I,COLUMN($H$1),0)</f>
        <v>vinicius.xisto</v>
      </c>
      <c r="H305" s="2" t="str">
        <f>VLOOKUP(Tabela1[[#This Row],[Participante]],Usuários!$A:$I,COLUMN($I$1),0)</f>
        <v>790vx!@</v>
      </c>
      <c r="I305" s="1" t="s">
        <v>6</v>
      </c>
      <c r="J305" s="1" t="s">
        <v>16</v>
      </c>
      <c r="K305" t="s">
        <v>284</v>
      </c>
      <c r="L305" t="s">
        <v>309</v>
      </c>
      <c r="M305" t="str">
        <f>IF(Tabela1[[#This Row],[Tipo_aval]]="auto","Ok",IF(ISERROR(VLOOKUP(Tabela1[[#This Row],[Participante]],Atualização!$B:$B,1,FALSE)),"Ok","Atualizar"))</f>
        <v>Ok</v>
      </c>
      <c r="N30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Vinicius Silva Xisto</v>
      </c>
      <c r="O305" t="str">
        <f>IF(IFERROR(VLOOKUP(Tabela1[[#This Row],[Novo_Avaliador]],Usuários!$A:$B,2,FALSE),"")="","",IFERROR(VLOOKUP(Tabela1[[#This Row],[Novo_Avaliador]],Usuários!$A:$B,2,FALSE),""))</f>
        <v>vinicius.xisto@enind.com.br</v>
      </c>
      <c r="P305" t="str">
        <f>IF(Tabela1[[#This Row],[Novo_Avaliador]]=Tabela1[[#This Row],[Avaliador]],"Sim","Não")</f>
        <v>Sim</v>
      </c>
      <c r="Q305" t="b">
        <f>Tabela1[[#This Row],[email_repres]]=Tabela1[[#This Row],[e-mail novo avaliador]]</f>
        <v>1</v>
      </c>
    </row>
    <row r="306" spans="1:17" x14ac:dyDescent="0.25">
      <c r="A306" t="s">
        <v>352</v>
      </c>
      <c r="B306" t="s">
        <v>266</v>
      </c>
      <c r="C306" t="s">
        <v>284</v>
      </c>
      <c r="D306" t="s">
        <v>297</v>
      </c>
      <c r="E306" s="2" t="str">
        <f>VLOOKUP(Tabela1[[#This Row],[Avaliador]],Usuários!A:I,COLUMN($H$1),0)</f>
        <v>vinicius.xisto</v>
      </c>
      <c r="F306" s="2" t="str">
        <f>VLOOKUP(Tabela1[[#This Row],[Avaliador]],Usuários!$A:$I,COLUMN($I$1),0)</f>
        <v>790vx!@</v>
      </c>
      <c r="G306" s="2" t="str">
        <f>VLOOKUP(Tabela1[[#This Row],[Participante]],Usuários!$A:$I,COLUMN($H$1),0)</f>
        <v>vinicius.silva</v>
      </c>
      <c r="H306" s="2" t="str">
        <f>VLOOKUP(Tabela1[[#This Row],[Participante]],Usuários!$A:$I,COLUMN($I$1),0)</f>
        <v>512vs!@</v>
      </c>
      <c r="I306" s="1" t="s">
        <v>16</v>
      </c>
      <c r="J306" s="1" t="s">
        <v>16</v>
      </c>
      <c r="K306" t="s">
        <v>284</v>
      </c>
      <c r="L306" t="s">
        <v>307</v>
      </c>
      <c r="M306" t="str">
        <f>IF(Tabela1[[#This Row],[Tipo_aval]]="auto","Ok",IF(ISERROR(VLOOKUP(Tabela1[[#This Row],[Participante]],Atualização!$B:$B,1,FALSE)),"Ok","Atualizar"))</f>
        <v>Ok</v>
      </c>
      <c r="N30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Vinicius Silva Xisto</v>
      </c>
      <c r="O306" t="str">
        <f>IF(IFERROR(VLOOKUP(Tabela1[[#This Row],[Novo_Avaliador]],Usuários!$A:$B,2,FALSE),"")="","",IFERROR(VLOOKUP(Tabela1[[#This Row],[Novo_Avaliador]],Usuários!$A:$B,2,FALSE),""))</f>
        <v>vinicius.xisto@enind.com.br</v>
      </c>
      <c r="P306" t="str">
        <f>IF(Tabela1[[#This Row],[Novo_Avaliador]]=Tabela1[[#This Row],[Avaliador]],"Sim","Não")</f>
        <v>Sim</v>
      </c>
      <c r="Q306" t="b">
        <f>Tabela1[[#This Row],[email_repres]]=Tabela1[[#This Row],[e-mail novo avaliador]]</f>
        <v>1</v>
      </c>
    </row>
    <row r="307" spans="1:17" x14ac:dyDescent="0.25">
      <c r="A307" t="s">
        <v>117</v>
      </c>
      <c r="B307" t="s">
        <v>291</v>
      </c>
      <c r="C307" t="s">
        <v>292</v>
      </c>
      <c r="D307" t="s">
        <v>297</v>
      </c>
      <c r="E307" s="2" t="str">
        <f>VLOOKUP(Tabela1[[#This Row],[Avaliador]],Usuários!A:I,COLUMN($H$1),0)</f>
        <v>w.cristal</v>
      </c>
      <c r="F307" s="2" t="str">
        <f>VLOOKUP(Tabela1[[#This Row],[Avaliador]],Usuários!$A:$I,COLUMN($I$1),0)</f>
        <v>996wc!@</v>
      </c>
      <c r="G307" s="2" t="str">
        <f>VLOOKUP(Tabela1[[#This Row],[Participante]],Usuários!$A:$I,COLUMN($H$1),0)</f>
        <v>guilherme.luis</v>
      </c>
      <c r="H307" s="2" t="str">
        <f>VLOOKUP(Tabela1[[#This Row],[Participante]],Usuários!$A:$I,COLUMN($I$1),0)</f>
        <v>038gl!@</v>
      </c>
      <c r="I307" s="1" t="s">
        <v>16</v>
      </c>
      <c r="J307" s="1" t="s">
        <v>16</v>
      </c>
      <c r="K307" t="str">
        <f>Tabela1[[#This Row],[Email]]</f>
        <v>w.cristal@enind.com.br</v>
      </c>
      <c r="L307" t="s">
        <v>309</v>
      </c>
      <c r="M307" t="str">
        <f>IF(Tabela1[[#This Row],[Tipo_aval]]="auto","Ok",IF(ISERROR(VLOOKUP(Tabela1[[#This Row],[Participante]],Atualização!$B:$B,1,FALSE)),"Ok","Atualizar"))</f>
        <v>Atualizar</v>
      </c>
      <c r="N30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07" t="str">
        <f>IF(IFERROR(VLOOKUP(Tabela1[[#This Row],[Novo_Avaliador]],Usuários!$A:$B,2,FALSE),"")="","",IFERROR(VLOOKUP(Tabela1[[#This Row],[Novo_Avaliador]],Usuários!$A:$B,2,FALSE),""))</f>
        <v>w.cristal@enind.com.br</v>
      </c>
      <c r="P307" t="str">
        <f>IF(Tabela1[[#This Row],[Novo_Avaliador]]=Tabela1[[#This Row],[Avaliador]],"Sim","Não")</f>
        <v>Sim</v>
      </c>
      <c r="Q307" t="b">
        <f>Tabela1[[#This Row],[email_repres]]=Tabela1[[#This Row],[e-mail novo avaliador]]</f>
        <v>1</v>
      </c>
    </row>
    <row r="308" spans="1:17" x14ac:dyDescent="0.25">
      <c r="A308" t="s">
        <v>52</v>
      </c>
      <c r="B308" t="s">
        <v>291</v>
      </c>
      <c r="C308" t="s">
        <v>292</v>
      </c>
      <c r="D308" t="s">
        <v>303</v>
      </c>
      <c r="E308" s="2" t="str">
        <f>VLOOKUP(Tabela1[[#This Row],[Avaliador]],Usuários!A:I,COLUMN($H$1),0)</f>
        <v>w.cristal</v>
      </c>
      <c r="F308" s="2" t="str">
        <f>VLOOKUP(Tabela1[[#This Row],[Avaliador]],Usuários!$A:$I,COLUMN($I$1),0)</f>
        <v>996wc!@</v>
      </c>
      <c r="G308" s="2" t="str">
        <f>VLOOKUP(Tabela1[[#This Row],[Participante]],Usuários!$A:$I,COLUMN($H$1),0)</f>
        <v>thais.alves</v>
      </c>
      <c r="H308" s="2" t="str">
        <f>VLOOKUP(Tabela1[[#This Row],[Participante]],Usuários!$A:$I,COLUMN($I$1),0)</f>
        <v>751ta!@</v>
      </c>
      <c r="I308" s="1" t="s">
        <v>16</v>
      </c>
      <c r="J308" s="1" t="s">
        <v>16</v>
      </c>
      <c r="K308" t="str">
        <f>Tabela1[[#This Row],[Email]]</f>
        <v>w.cristal@enind.com.br</v>
      </c>
      <c r="L308" t="s">
        <v>309</v>
      </c>
      <c r="M308" t="str">
        <f>IF(Tabela1[[#This Row],[Tipo_aval]]="auto","Ok",IF(ISERROR(VLOOKUP(Tabela1[[#This Row],[Participante]],Atualização!$B:$B,1,FALSE)),"Ok","Atualizar"))</f>
        <v>Atualizar</v>
      </c>
      <c r="N30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08" t="str">
        <f>IF(IFERROR(VLOOKUP(Tabela1[[#This Row],[Novo_Avaliador]],Usuários!$A:$B,2,FALSE),"")="","",IFERROR(VLOOKUP(Tabela1[[#This Row],[Novo_Avaliador]],Usuários!$A:$B,2,FALSE),""))</f>
        <v>w.cristal@enind.com.br</v>
      </c>
      <c r="P308" t="str">
        <f>IF(Tabela1[[#This Row],[Novo_Avaliador]]=Tabela1[[#This Row],[Avaliador]],"Sim","Não")</f>
        <v>Sim</v>
      </c>
      <c r="Q308" t="b">
        <f>Tabela1[[#This Row],[email_repres]]=Tabela1[[#This Row],[e-mail novo avaliador]]</f>
        <v>1</v>
      </c>
    </row>
    <row r="309" spans="1:17" x14ac:dyDescent="0.25">
      <c r="A309" s="2" t="s">
        <v>38</v>
      </c>
      <c r="B309" s="2" t="s">
        <v>291</v>
      </c>
      <c r="C309" s="2" t="s">
        <v>292</v>
      </c>
      <c r="D309" s="2" t="s">
        <v>303</v>
      </c>
      <c r="E309" s="2" t="str">
        <f>VLOOKUP(Tabela1[[#This Row],[Avaliador]],Usuários!A:I,COLUMN($H$1),0)</f>
        <v>w.cristal</v>
      </c>
      <c r="F309" s="2" t="str">
        <f>VLOOKUP(Tabela1[[#This Row],[Avaliador]],Usuários!$A:$I,COLUMN($I$1),0)</f>
        <v>996wc!@</v>
      </c>
      <c r="G309" s="2" t="str">
        <f>VLOOKUP(Tabela1[[#This Row],[Participante]],Usuários!$A:$I,COLUMN($H$1),0)</f>
        <v>augusto.freitas</v>
      </c>
      <c r="H309" s="2" t="str">
        <f>VLOOKUP(Tabela1[[#This Row],[Participante]],Usuários!$A:$I,COLUMN($I$1),0)</f>
        <v>042af!@</v>
      </c>
      <c r="I309" s="1" t="s">
        <v>16</v>
      </c>
      <c r="J309" s="1" t="s">
        <v>16</v>
      </c>
      <c r="K309" t="s">
        <v>292</v>
      </c>
      <c r="L309" t="s">
        <v>309</v>
      </c>
      <c r="M309" t="str">
        <f>IF(Tabela1[[#This Row],[Tipo_aval]]="auto","Ok",IF(ISERROR(VLOOKUP(Tabela1[[#This Row],[Participante]],Atualização!$B:$B,1,FALSE)),"Ok","Atualizar"))</f>
        <v>Ok</v>
      </c>
      <c r="N30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09" t="str">
        <f>IF(IFERROR(VLOOKUP(Tabela1[[#This Row],[Novo_Avaliador]],Usuários!$A:$B,2,FALSE),"")="","",IFERROR(VLOOKUP(Tabela1[[#This Row],[Novo_Avaliador]],Usuários!$A:$B,2,FALSE),""))</f>
        <v>w.cristal@enind.com.br</v>
      </c>
      <c r="P309" t="str">
        <f>IF(Tabela1[[#This Row],[Novo_Avaliador]]=Tabela1[[#This Row],[Avaliador]],"Sim","Não")</f>
        <v>Sim</v>
      </c>
      <c r="Q309" t="b">
        <f>Tabela1[[#This Row],[email_repres]]=Tabela1[[#This Row],[e-mail novo avaliador]]</f>
        <v>1</v>
      </c>
    </row>
    <row r="310" spans="1:17" x14ac:dyDescent="0.25">
      <c r="A310" t="s">
        <v>151</v>
      </c>
      <c r="B310" t="s">
        <v>291</v>
      </c>
      <c r="C310" t="s">
        <v>292</v>
      </c>
      <c r="D310" t="s">
        <v>303</v>
      </c>
      <c r="E310" s="2" t="str">
        <f>VLOOKUP(Tabela1[[#This Row],[Avaliador]],Usuários!A:I,COLUMN($H$1),0)</f>
        <v>w.cristal</v>
      </c>
      <c r="F310" s="2" t="str">
        <f>VLOOKUP(Tabela1[[#This Row],[Avaliador]],Usuários!$A:$I,COLUMN($I$1),0)</f>
        <v>996wc!@</v>
      </c>
      <c r="G310" s="2" t="str">
        <f>VLOOKUP(Tabela1[[#This Row],[Participante]],Usuários!$A:$I,COLUMN($H$1),0)</f>
        <v>fabio.carelli</v>
      </c>
      <c r="H310" s="2" t="str">
        <f>VLOOKUP(Tabela1[[#This Row],[Participante]],Usuários!$A:$I,COLUMN($I$1),0)</f>
        <v>564fc!@</v>
      </c>
      <c r="I310" s="1" t="s">
        <v>16</v>
      </c>
      <c r="J310" s="1" t="s">
        <v>16</v>
      </c>
      <c r="K310" t="s">
        <v>292</v>
      </c>
      <c r="L310" t="s">
        <v>307</v>
      </c>
      <c r="M310" t="str">
        <f>IF(Tabela1[[#This Row],[Tipo_aval]]="auto","Ok",IF(ISERROR(VLOOKUP(Tabela1[[#This Row],[Participante]],Atualização!$B:$B,1,FALSE)),"Ok","Atualizar"))</f>
        <v>Ok</v>
      </c>
      <c r="N31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10" t="str">
        <f>IF(IFERROR(VLOOKUP(Tabela1[[#This Row],[Novo_Avaliador]],Usuários!$A:$B,2,FALSE),"")="","",IFERROR(VLOOKUP(Tabela1[[#This Row],[Novo_Avaliador]],Usuários!$A:$B,2,FALSE),""))</f>
        <v>w.cristal@enind.com.br</v>
      </c>
      <c r="P310" t="str">
        <f>IF(Tabela1[[#This Row],[Novo_Avaliador]]=Tabela1[[#This Row],[Avaliador]],"Sim","Não")</f>
        <v>Sim</v>
      </c>
      <c r="Q310" t="b">
        <f>Tabela1[[#This Row],[email_repres]]=Tabela1[[#This Row],[e-mail novo avaliador]]</f>
        <v>1</v>
      </c>
    </row>
    <row r="311" spans="1:17" x14ac:dyDescent="0.25">
      <c r="A311" t="s">
        <v>94</v>
      </c>
      <c r="B311" t="s">
        <v>164</v>
      </c>
      <c r="C311" t="s">
        <v>248</v>
      </c>
      <c r="D311" t="s">
        <v>303</v>
      </c>
      <c r="E311" s="2" t="str">
        <f>VLOOKUP(Tabela1[[#This Row],[Avaliador]],Usuários!A:I,COLUMN($H$1),0)</f>
        <v>pierre.marinho</v>
      </c>
      <c r="F311" s="2" t="str">
        <f>VLOOKUP(Tabela1[[#This Row],[Avaliador]],Usuários!$A:$I,COLUMN($I$1),0)</f>
        <v>063pm!@</v>
      </c>
      <c r="G311" s="2" t="str">
        <f>VLOOKUP(Tabela1[[#This Row],[Participante]],Usuários!$A:$I,COLUMN($H$1),0)</f>
        <v>thiago.oliveira</v>
      </c>
      <c r="H311" s="2" t="str">
        <f>VLOOKUP(Tabela1[[#This Row],[Participante]],Usuários!$A:$I,COLUMN($I$1),0)</f>
        <v>891to!@</v>
      </c>
      <c r="I311" s="1" t="s">
        <v>16</v>
      </c>
      <c r="J311" s="1" t="s">
        <v>16</v>
      </c>
      <c r="K311" t="s">
        <v>248</v>
      </c>
      <c r="L311" t="s">
        <v>309</v>
      </c>
      <c r="M311" t="str">
        <f>IF(Tabela1[[#This Row],[Tipo_aval]]="auto","Ok",IF(ISERROR(VLOOKUP(Tabela1[[#This Row],[Participante]],Atualização!$B:$B,1,FALSE)),"Ok","Atualizar"))</f>
        <v>Atualizar</v>
      </c>
      <c r="N31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Pierre da Silva Marinho</v>
      </c>
      <c r="O311" t="str">
        <f>IF(IFERROR(VLOOKUP(Tabela1[[#This Row],[Novo_Avaliador]],Usuários!$A:$B,2,FALSE),"")="","",IFERROR(VLOOKUP(Tabela1[[#This Row],[Novo_Avaliador]],Usuários!$A:$B,2,FALSE),""))</f>
        <v>pierre.marinho@enind.com.br</v>
      </c>
      <c r="P311" t="str">
        <f>IF(Tabela1[[#This Row],[Novo_Avaliador]]=Tabela1[[#This Row],[Avaliador]],"Sim","Não")</f>
        <v>Sim</v>
      </c>
      <c r="Q311" t="b">
        <f>Tabela1[[#This Row],[email_repres]]=Tabela1[[#This Row],[e-mail novo avaliador]]</f>
        <v>1</v>
      </c>
    </row>
    <row r="312" spans="1:17" x14ac:dyDescent="0.25">
      <c r="A312" t="s">
        <v>15</v>
      </c>
      <c r="B312" t="s">
        <v>291</v>
      </c>
      <c r="C312" t="s">
        <v>292</v>
      </c>
      <c r="D312" t="s">
        <v>303</v>
      </c>
      <c r="E312" s="2" t="str">
        <f>VLOOKUP(Tabela1[[#This Row],[Avaliador]],Usuários!A:I,COLUMN($H$1),0)</f>
        <v>w.cristal</v>
      </c>
      <c r="F312" s="2" t="str">
        <f>VLOOKUP(Tabela1[[#This Row],[Avaliador]],Usuários!$A:$I,COLUMN($I$1),0)</f>
        <v>996wc!@</v>
      </c>
      <c r="G312" s="2" t="str">
        <f>VLOOKUP(Tabela1[[#This Row],[Participante]],Usuários!$A:$I,COLUMN($H$1),0)</f>
        <v>welton.martins</v>
      </c>
      <c r="H312" s="2" t="str">
        <f>VLOOKUP(Tabela1[[#This Row],[Participante]],Usuários!$A:$I,COLUMN($I$1),0)</f>
        <v>965wm!@</v>
      </c>
      <c r="I312" s="1" t="s">
        <v>16</v>
      </c>
      <c r="J312" s="1" t="s">
        <v>16</v>
      </c>
      <c r="K312" t="s">
        <v>292</v>
      </c>
      <c r="L312" t="s">
        <v>309</v>
      </c>
      <c r="M312" t="str">
        <f>IF(Tabela1[[#This Row],[Tipo_aval]]="auto","Ok",IF(ISERROR(VLOOKUP(Tabela1[[#This Row],[Participante]],Atualização!$B:$B,1,FALSE)),"Ok","Atualizar"))</f>
        <v>Ok</v>
      </c>
      <c r="N31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12" t="str">
        <f>IF(IFERROR(VLOOKUP(Tabela1[[#This Row],[Novo_Avaliador]],Usuários!$A:$B,2,FALSE),"")="","",IFERROR(VLOOKUP(Tabela1[[#This Row],[Novo_Avaliador]],Usuários!$A:$B,2,FALSE),""))</f>
        <v>w.cristal@enind.com.br</v>
      </c>
      <c r="P312" t="str">
        <f>IF(Tabela1[[#This Row],[Novo_Avaliador]]=Tabela1[[#This Row],[Avaliador]],"Sim","Não")</f>
        <v>Sim</v>
      </c>
      <c r="Q312" t="b">
        <f>Tabela1[[#This Row],[email_repres]]=Tabela1[[#This Row],[e-mail novo avaliador]]</f>
        <v>1</v>
      </c>
    </row>
    <row r="313" spans="1:17" x14ac:dyDescent="0.25">
      <c r="A313" t="s">
        <v>77</v>
      </c>
      <c r="B313" t="s">
        <v>291</v>
      </c>
      <c r="C313" t="s">
        <v>292</v>
      </c>
      <c r="D313" t="s">
        <v>303</v>
      </c>
      <c r="E313" s="2" t="str">
        <f>VLOOKUP(Tabela1[[#This Row],[Avaliador]],Usuários!A:I,COLUMN($H$1),0)</f>
        <v>w.cristal</v>
      </c>
      <c r="F313" s="2" t="str">
        <f>VLOOKUP(Tabela1[[#This Row],[Avaliador]],Usuários!$A:$I,COLUMN($I$1),0)</f>
        <v>996wc!@</v>
      </c>
      <c r="G313" s="2" t="str">
        <f>VLOOKUP(Tabela1[[#This Row],[Participante]],Usuários!$A:$I,COLUMN($H$1),0)</f>
        <v>weslley.costa</v>
      </c>
      <c r="H313" s="2" t="str">
        <f>VLOOKUP(Tabela1[[#This Row],[Participante]],Usuários!$A:$I,COLUMN($I$1),0)</f>
        <v>370wc!@</v>
      </c>
      <c r="I313" s="1" t="s">
        <v>16</v>
      </c>
      <c r="J313" s="1" t="s">
        <v>16</v>
      </c>
      <c r="K313" t="s">
        <v>292</v>
      </c>
      <c r="L313" t="s">
        <v>309</v>
      </c>
      <c r="M313" t="str">
        <f>IF(Tabela1[[#This Row],[Tipo_aval]]="auto","Ok",IF(ISERROR(VLOOKUP(Tabela1[[#This Row],[Participante]],Atualização!$B:$B,1,FALSE)),"Ok","Atualizar"))</f>
        <v>Ok</v>
      </c>
      <c r="N31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13" t="str">
        <f>IF(IFERROR(VLOOKUP(Tabela1[[#This Row],[Novo_Avaliador]],Usuários!$A:$B,2,FALSE),"")="","",IFERROR(VLOOKUP(Tabela1[[#This Row],[Novo_Avaliador]],Usuários!$A:$B,2,FALSE),""))</f>
        <v>w.cristal@enind.com.br</v>
      </c>
      <c r="P313" t="str">
        <f>IF(Tabela1[[#This Row],[Novo_Avaliador]]=Tabela1[[#This Row],[Avaliador]],"Sim","Não")</f>
        <v>Sim</v>
      </c>
      <c r="Q313" t="b">
        <f>Tabela1[[#This Row],[email_repres]]=Tabela1[[#This Row],[e-mail novo avaliador]]</f>
        <v>1</v>
      </c>
    </row>
    <row r="314" spans="1:17" x14ac:dyDescent="0.25">
      <c r="A314" t="s">
        <v>71</v>
      </c>
      <c r="B314" t="s">
        <v>291</v>
      </c>
      <c r="C314" t="s">
        <v>292</v>
      </c>
      <c r="D314" t="s">
        <v>303</v>
      </c>
      <c r="E314" s="2" t="str">
        <f>VLOOKUP(Tabela1[[#This Row],[Avaliador]],Usuários!A:I,COLUMN($H$1),0)</f>
        <v>w.cristal</v>
      </c>
      <c r="F314" s="2" t="str">
        <f>VLOOKUP(Tabela1[[#This Row],[Avaliador]],Usuários!$A:$I,COLUMN($I$1),0)</f>
        <v>996wc!@</v>
      </c>
      <c r="G314" s="2" t="str">
        <f>VLOOKUP(Tabela1[[#This Row],[Participante]],Usuários!$A:$I,COLUMN($H$1),0)</f>
        <v>wilson.fernandes</v>
      </c>
      <c r="H314" s="2" t="str">
        <f>VLOOKUP(Tabela1[[#This Row],[Participante]],Usuários!$A:$I,COLUMN($I$1),0)</f>
        <v>571wf!@</v>
      </c>
      <c r="I314" s="1" t="s">
        <v>16</v>
      </c>
      <c r="J314" s="1" t="s">
        <v>16</v>
      </c>
      <c r="K314" t="s">
        <v>292</v>
      </c>
      <c r="L314" t="s">
        <v>309</v>
      </c>
      <c r="M314" t="str">
        <f>IF(Tabela1[[#This Row],[Tipo_aval]]="auto","Ok",IF(ISERROR(VLOOKUP(Tabela1[[#This Row],[Participante]],Atualização!$B:$B,1,FALSE)),"Ok","Atualizar"))</f>
        <v>Ok</v>
      </c>
      <c r="N31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14" t="str">
        <f>IF(IFERROR(VLOOKUP(Tabela1[[#This Row],[Novo_Avaliador]],Usuários!$A:$B,2,FALSE),"")="","",IFERROR(VLOOKUP(Tabela1[[#This Row],[Novo_Avaliador]],Usuários!$A:$B,2,FALSE),""))</f>
        <v>w.cristal@enind.com.br</v>
      </c>
      <c r="P314" t="str">
        <f>IF(Tabela1[[#This Row],[Novo_Avaliador]]=Tabela1[[#This Row],[Avaliador]],"Sim","Não")</f>
        <v>Sim</v>
      </c>
      <c r="Q314" t="b">
        <f>Tabela1[[#This Row],[email_repres]]=Tabela1[[#This Row],[e-mail novo avaliador]]</f>
        <v>1</v>
      </c>
    </row>
    <row r="315" spans="1:17" x14ac:dyDescent="0.25">
      <c r="A315" t="s">
        <v>321</v>
      </c>
      <c r="B315" t="s">
        <v>291</v>
      </c>
      <c r="C315" t="s">
        <v>292</v>
      </c>
      <c r="D315" t="s">
        <v>303</v>
      </c>
      <c r="E315" s="2" t="str">
        <f>VLOOKUP(Tabela1[[#This Row],[Avaliador]],Usuários!A:I,COLUMN($H$1),0)</f>
        <v>w.cristal</v>
      </c>
      <c r="F315" s="2" t="str">
        <f>VLOOKUP(Tabela1[[#This Row],[Avaliador]],Usuários!$A:$I,COLUMN($I$1),0)</f>
        <v>996wc!@</v>
      </c>
      <c r="G315" s="2" t="str">
        <f>VLOOKUP(Tabela1[[#This Row],[Participante]],Usuários!$A:$I,COLUMN($H$1),0)</f>
        <v>antonio.santos</v>
      </c>
      <c r="H315" s="2" t="str">
        <f>VLOOKUP(Tabela1[[#This Row],[Participante]],Usuários!$A:$I,COLUMN($I$1),0)</f>
        <v>391as!@</v>
      </c>
      <c r="I315" s="1" t="s">
        <v>16</v>
      </c>
      <c r="J315" s="1" t="s">
        <v>16</v>
      </c>
      <c r="K315" t="s">
        <v>292</v>
      </c>
      <c r="L315" t="s">
        <v>309</v>
      </c>
      <c r="M315" t="str">
        <f>IF(Tabela1[[#This Row],[Tipo_aval]]="auto","Ok",IF(ISERROR(VLOOKUP(Tabela1[[#This Row],[Participante]],Atualização!$B:$B,1,FALSE)),"Ok","Atualizar"))</f>
        <v>Ok</v>
      </c>
      <c r="N31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Wiringhton Cristal Araujo</v>
      </c>
      <c r="O315" t="str">
        <f>IF(IFERROR(VLOOKUP(Tabela1[[#This Row],[Novo_Avaliador]],Usuários!$A:$B,2,FALSE),"")="","",IFERROR(VLOOKUP(Tabela1[[#This Row],[Novo_Avaliador]],Usuários!$A:$B,2,FALSE),""))</f>
        <v>w.cristal@enind.com.br</v>
      </c>
      <c r="P315" t="str">
        <f>IF(Tabela1[[#This Row],[Novo_Avaliador]]=Tabela1[[#This Row],[Avaliador]],"Sim","Não")</f>
        <v>Sim</v>
      </c>
      <c r="Q315" t="b">
        <f>Tabela1[[#This Row],[email_repres]]=Tabela1[[#This Row],[e-mail novo avaliador]]</f>
        <v>1</v>
      </c>
    </row>
    <row r="316" spans="1:17" x14ac:dyDescent="0.25">
      <c r="A316" s="2" t="s">
        <v>222</v>
      </c>
      <c r="B316" s="2" t="s">
        <v>15</v>
      </c>
      <c r="C316" s="2" t="s">
        <v>287</v>
      </c>
      <c r="D316" s="3" t="s">
        <v>297</v>
      </c>
      <c r="E316" s="2" t="str">
        <f>VLOOKUP(Tabela1[[#This Row],[Avaliador]],Usuários!A:I,COLUMN($H$1),0)</f>
        <v>welton.martins</v>
      </c>
      <c r="F316" s="2" t="str">
        <f>VLOOKUP(Tabela1[[#This Row],[Avaliador]],Usuários!$A:$I,COLUMN($I$1),0)</f>
        <v>965wm!@</v>
      </c>
      <c r="G316" s="2" t="str">
        <f>VLOOKUP(Tabela1[[#This Row],[Participante]],Usuários!$A:$I,COLUMN($H$1),0)</f>
        <v>luciano.bastos</v>
      </c>
      <c r="H316" s="2" t="str">
        <f>VLOOKUP(Tabela1[[#This Row],[Participante]],Usuários!$A:$I,COLUMN($I$1),0)</f>
        <v>428lb!@</v>
      </c>
      <c r="I316" s="1" t="s">
        <v>16</v>
      </c>
      <c r="J316" s="1" t="s">
        <v>16</v>
      </c>
      <c r="K316" t="str">
        <f>Tabela1[[#This Row],[Email]]</f>
        <v>welton.martins@enind.com.br</v>
      </c>
      <c r="L316" t="s">
        <v>309</v>
      </c>
      <c r="M316" t="str">
        <f>IF(Tabela1[[#This Row],[Tipo_aval]]="auto","Ok",IF(ISERROR(VLOOKUP(Tabela1[[#This Row],[Participante]],Atualização!$B:$B,1,FALSE)),"Ok","Atualizar"))</f>
        <v>Atualizar</v>
      </c>
      <c r="N31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16" t="str">
        <f>IF(IFERROR(VLOOKUP(Tabela1[[#This Row],[Novo_Avaliador]],Usuários!$A:$B,2,FALSE),"")="","",IFERROR(VLOOKUP(Tabela1[[#This Row],[Novo_Avaliador]],Usuários!$A:$B,2,FALSE),""))</f>
        <v>welton.martins@enind.com.br</v>
      </c>
      <c r="P316" t="str">
        <f>IF(Tabela1[[#This Row],[Novo_Avaliador]]=Tabela1[[#This Row],[Avaliador]],"Sim","Não")</f>
        <v>Sim</v>
      </c>
      <c r="Q316" t="b">
        <f>Tabela1[[#This Row],[email_repres]]=Tabela1[[#This Row],[e-mail novo avaliador]]</f>
        <v>1</v>
      </c>
    </row>
    <row r="317" spans="1:17" x14ac:dyDescent="0.25">
      <c r="A317" t="s">
        <v>353</v>
      </c>
      <c r="B317" t="s">
        <v>353</v>
      </c>
      <c r="C317" t="s">
        <v>389</v>
      </c>
      <c r="D317" t="s">
        <v>295</v>
      </c>
      <c r="E317" s="2" t="str">
        <f>VLOOKUP(Tabela1[[#This Row],[Avaliador]],Usuários!A:I,COLUMN($H$1),0)</f>
        <v>wagner.barreiro</v>
      </c>
      <c r="F317" s="2" t="str">
        <f>VLOOKUP(Tabela1[[#This Row],[Avaliador]],Usuários!$A:$I,COLUMN($I$1),0)</f>
        <v>028wb!@</v>
      </c>
      <c r="G317" s="2" t="str">
        <f>VLOOKUP(Tabela1[[#This Row],[Participante]],Usuários!$A:$I,COLUMN($H$1),0)</f>
        <v>wagner.barreiro</v>
      </c>
      <c r="H317" s="2" t="str">
        <f>VLOOKUP(Tabela1[[#This Row],[Participante]],Usuários!$A:$I,COLUMN($I$1),0)</f>
        <v>028wb!@</v>
      </c>
      <c r="I317" s="1" t="s">
        <v>6</v>
      </c>
      <c r="J317" s="1" t="s">
        <v>16</v>
      </c>
      <c r="K317" t="s">
        <v>389</v>
      </c>
      <c r="L317" t="s">
        <v>307</v>
      </c>
      <c r="M317" t="str">
        <f>IF(Tabela1[[#This Row],[Tipo_aval]]="auto","Ok",IF(ISERROR(VLOOKUP(Tabela1[[#This Row],[Participante]],Atualização!$B:$B,1,FALSE)),"Ok","Atualizar"))</f>
        <v>Ok</v>
      </c>
      <c r="N31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Araujo Sequeira Barreiro</v>
      </c>
      <c r="O317" t="str">
        <f>IF(IFERROR(VLOOKUP(Tabela1[[#This Row],[Novo_Avaliador]],Usuários!$A:$B,2,FALSE),"")="","",IFERROR(VLOOKUP(Tabela1[[#This Row],[Novo_Avaliador]],Usuários!$A:$B,2,FALSE),""))</f>
        <v>wagner.barreiro@enind.com.br</v>
      </c>
      <c r="P317" t="str">
        <f>IF(Tabela1[[#This Row],[Novo_Avaliador]]=Tabela1[[#This Row],[Avaliador]],"Sim","Não")</f>
        <v>Sim</v>
      </c>
      <c r="Q317" t="b">
        <f>Tabela1[[#This Row],[email_repres]]=Tabela1[[#This Row],[e-mail novo avaliador]]</f>
        <v>1</v>
      </c>
    </row>
    <row r="318" spans="1:17" x14ac:dyDescent="0.25">
      <c r="A318" s="2" t="s">
        <v>91</v>
      </c>
      <c r="B318" s="2" t="s">
        <v>272</v>
      </c>
      <c r="C318" s="2" t="s">
        <v>286</v>
      </c>
      <c r="D318" s="2" t="s">
        <v>303</v>
      </c>
      <c r="E318" s="2" t="str">
        <f>VLOOKUP(Tabela1[[#This Row],[Avaliador]],Usuários!A:I,COLUMN($H$1),0)</f>
        <v>wagner.ferreira</v>
      </c>
      <c r="F318" s="2" t="str">
        <f>VLOOKUP(Tabela1[[#This Row],[Avaliador]],Usuários!$A:$I,COLUMN($I$1),0)</f>
        <v>260wf!@</v>
      </c>
      <c r="G318" s="2" t="str">
        <f>VLOOKUP(Tabela1[[#This Row],[Participante]],Usuários!$A:$I,COLUMN($H$1),0)</f>
        <v>ediberto.pescaroli</v>
      </c>
      <c r="H318" s="2" t="str">
        <f>VLOOKUP(Tabela1[[#This Row],[Participante]],Usuários!$A:$I,COLUMN($I$1),0)</f>
        <v>160ep!@</v>
      </c>
      <c r="I318" s="1" t="s">
        <v>16</v>
      </c>
      <c r="J318" s="1" t="s">
        <v>16</v>
      </c>
      <c r="K318" t="str">
        <f>Tabela1[[#This Row],[Email]]</f>
        <v>wagner.ferreira@enind.com.br</v>
      </c>
      <c r="L318" t="s">
        <v>307</v>
      </c>
      <c r="M318" t="str">
        <f>IF(Tabela1[[#This Row],[Tipo_aval]]="auto","Ok",IF(ISERROR(VLOOKUP(Tabela1[[#This Row],[Participante]],Atualização!$B:$B,1,FALSE)),"Ok","Atualizar"))</f>
        <v>Atualizar</v>
      </c>
      <c r="N31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18" t="str">
        <f>IF(IFERROR(VLOOKUP(Tabela1[[#This Row],[Novo_Avaliador]],Usuários!$A:$B,2,FALSE),"")="","",IFERROR(VLOOKUP(Tabela1[[#This Row],[Novo_Avaliador]],Usuários!$A:$B,2,FALSE),""))</f>
        <v>wagner.ferreira@enind.com.br</v>
      </c>
      <c r="P318" t="str">
        <f>IF(Tabela1[[#This Row],[Novo_Avaliador]]=Tabela1[[#This Row],[Avaliador]],"Sim","Não")</f>
        <v>Sim</v>
      </c>
      <c r="Q318" t="b">
        <f>Tabela1[[#This Row],[email_repres]]=Tabela1[[#This Row],[e-mail novo avaliador]]</f>
        <v>1</v>
      </c>
    </row>
    <row r="319" spans="1:17" x14ac:dyDescent="0.25">
      <c r="A319" s="2" t="s">
        <v>272</v>
      </c>
      <c r="B319" s="2" t="s">
        <v>272</v>
      </c>
      <c r="C319" s="2" t="s">
        <v>286</v>
      </c>
      <c r="D319" s="2" t="s">
        <v>295</v>
      </c>
      <c r="E319" s="2" t="str">
        <f>VLOOKUP(Tabela1[[#This Row],[Avaliador]],Usuários!A:I,COLUMN($H$1),0)</f>
        <v>wagner.ferreira</v>
      </c>
      <c r="F319" s="2" t="str">
        <f>VLOOKUP(Tabela1[[#This Row],[Avaliador]],Usuários!$A:$I,COLUMN($I$1),0)</f>
        <v>260wf!@</v>
      </c>
      <c r="G319" s="2" t="str">
        <f>VLOOKUP(Tabela1[[#This Row],[Participante]],Usuários!$A:$I,COLUMN($H$1),0)</f>
        <v>wagner.ferreira</v>
      </c>
      <c r="H319" s="2" t="str">
        <f>VLOOKUP(Tabela1[[#This Row],[Participante]],Usuários!$A:$I,COLUMN($I$1),0)</f>
        <v>260wf!@</v>
      </c>
      <c r="I319" s="1" t="s">
        <v>6</v>
      </c>
      <c r="J319" s="1" t="s">
        <v>16</v>
      </c>
      <c r="K319" t="s">
        <v>286</v>
      </c>
      <c r="L319" t="s">
        <v>307</v>
      </c>
      <c r="M319" t="str">
        <f>IF(Tabela1[[#This Row],[Tipo_aval]]="auto","Ok",IF(ISERROR(VLOOKUP(Tabela1[[#This Row],[Participante]],Atualização!$B:$B,1,FALSE)),"Ok","Atualizar"))</f>
        <v>Ok</v>
      </c>
      <c r="N31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19" t="str">
        <f>IF(IFERROR(VLOOKUP(Tabela1[[#This Row],[Novo_Avaliador]],Usuários!$A:$B,2,FALSE),"")="","",IFERROR(VLOOKUP(Tabela1[[#This Row],[Novo_Avaliador]],Usuários!$A:$B,2,FALSE),""))</f>
        <v>wagner.ferreira@enind.com.br</v>
      </c>
      <c r="P319" t="str">
        <f>IF(Tabela1[[#This Row],[Novo_Avaliador]]=Tabela1[[#This Row],[Avaliador]],"Sim","Não")</f>
        <v>Sim</v>
      </c>
      <c r="Q319" t="b">
        <f>Tabela1[[#This Row],[email_repres]]=Tabela1[[#This Row],[e-mail novo avaliador]]</f>
        <v>1</v>
      </c>
    </row>
    <row r="320" spans="1:17" x14ac:dyDescent="0.25">
      <c r="A320" s="2" t="s">
        <v>196</v>
      </c>
      <c r="B320" s="2" t="s">
        <v>272</v>
      </c>
      <c r="C320" s="2" t="s">
        <v>286</v>
      </c>
      <c r="D320" s="2" t="s">
        <v>297</v>
      </c>
      <c r="E320" s="2" t="str">
        <f>VLOOKUP(Tabela1[[#This Row],[Avaliador]],Usuários!A:I,COLUMN($H$1),0)</f>
        <v>wagner.ferreira</v>
      </c>
      <c r="F320" s="2" t="str">
        <f>VLOOKUP(Tabela1[[#This Row],[Avaliador]],Usuários!$A:$I,COLUMN($I$1),0)</f>
        <v>260wf!@</v>
      </c>
      <c r="G320" s="2" t="str">
        <f>VLOOKUP(Tabela1[[#This Row],[Participante]],Usuários!$A:$I,COLUMN($H$1),0)</f>
        <v>janderson.alves</v>
      </c>
      <c r="H320" s="2" t="str">
        <f>VLOOKUP(Tabela1[[#This Row],[Participante]],Usuários!$A:$I,COLUMN($I$1),0)</f>
        <v>834ja!@</v>
      </c>
      <c r="I320" s="1" t="s">
        <v>16</v>
      </c>
      <c r="J320" s="1" t="s">
        <v>16</v>
      </c>
      <c r="K320" t="s">
        <v>286</v>
      </c>
      <c r="L320" t="s">
        <v>307</v>
      </c>
      <c r="M320" t="str">
        <f>IF(Tabela1[[#This Row],[Tipo_aval]]="auto","Ok",IF(ISERROR(VLOOKUP(Tabela1[[#This Row],[Participante]],Atualização!$B:$B,1,FALSE)),"Ok","Atualizar"))</f>
        <v>Ok</v>
      </c>
      <c r="N32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0" t="str">
        <f>IF(IFERROR(VLOOKUP(Tabela1[[#This Row],[Novo_Avaliador]],Usuários!$A:$B,2,FALSE),"")="","",IFERROR(VLOOKUP(Tabela1[[#This Row],[Novo_Avaliador]],Usuários!$A:$B,2,FALSE),""))</f>
        <v>wagner.ferreira@enind.com.br</v>
      </c>
      <c r="P320" t="str">
        <f>IF(Tabela1[[#This Row],[Novo_Avaliador]]=Tabela1[[#This Row],[Avaliador]],"Sim","Não")</f>
        <v>Sim</v>
      </c>
      <c r="Q320" t="b">
        <f>Tabela1[[#This Row],[email_repres]]=Tabela1[[#This Row],[e-mail novo avaliador]]</f>
        <v>1</v>
      </c>
    </row>
    <row r="321" spans="1:17" x14ac:dyDescent="0.25">
      <c r="A321" s="2" t="s">
        <v>260</v>
      </c>
      <c r="B321" s="2" t="s">
        <v>272</v>
      </c>
      <c r="C321" s="2" t="s">
        <v>286</v>
      </c>
      <c r="D321" s="2" t="s">
        <v>297</v>
      </c>
      <c r="E321" s="2" t="str">
        <f>VLOOKUP(Tabela1[[#This Row],[Avaliador]],Usuários!A:I,COLUMN($H$1),0)</f>
        <v>wagner.ferreira</v>
      </c>
      <c r="F321" s="2" t="str">
        <f>VLOOKUP(Tabela1[[#This Row],[Avaliador]],Usuários!$A:$I,COLUMN($I$1),0)</f>
        <v>260wf!@</v>
      </c>
      <c r="G321" s="2" t="str">
        <f>VLOOKUP(Tabela1[[#This Row],[Participante]],Usuários!$A:$I,COLUMN($H$1),0)</f>
        <v>ronierison.siqueira</v>
      </c>
      <c r="H321" s="2" t="str">
        <f>VLOOKUP(Tabela1[[#This Row],[Participante]],Usuários!$A:$I,COLUMN($I$1),0)</f>
        <v>938rs!@</v>
      </c>
      <c r="I321" s="1" t="s">
        <v>16</v>
      </c>
      <c r="J321" s="1" t="s">
        <v>16</v>
      </c>
      <c r="K321" t="s">
        <v>286</v>
      </c>
      <c r="L321" t="s">
        <v>307</v>
      </c>
      <c r="M321" t="str">
        <f>IF(Tabela1[[#This Row],[Tipo_aval]]="auto","Ok",IF(ISERROR(VLOOKUP(Tabela1[[#This Row],[Participante]],Atualização!$B:$B,1,FALSE)),"Ok","Atualizar"))</f>
        <v>Ok</v>
      </c>
      <c r="N32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1" t="str">
        <f>IF(IFERROR(VLOOKUP(Tabela1[[#This Row],[Novo_Avaliador]],Usuários!$A:$B,2,FALSE),"")="","",IFERROR(VLOOKUP(Tabela1[[#This Row],[Novo_Avaliador]],Usuários!$A:$B,2,FALSE),""))</f>
        <v>wagner.ferreira@enind.com.br</v>
      </c>
      <c r="P321" t="str">
        <f>IF(Tabela1[[#This Row],[Novo_Avaliador]]=Tabela1[[#This Row],[Avaliador]],"Sim","Não")</f>
        <v>Sim</v>
      </c>
      <c r="Q321" t="b">
        <f>Tabela1[[#This Row],[email_repres]]=Tabela1[[#This Row],[e-mail novo avaliador]]</f>
        <v>1</v>
      </c>
    </row>
    <row r="322" spans="1:17" x14ac:dyDescent="0.25">
      <c r="A322" t="s">
        <v>320</v>
      </c>
      <c r="B322" t="s">
        <v>272</v>
      </c>
      <c r="C322" t="s">
        <v>286</v>
      </c>
      <c r="D322" t="s">
        <v>303</v>
      </c>
      <c r="E322" s="2" t="str">
        <f>VLOOKUP(Tabela1[[#This Row],[Avaliador]],Usuários!A:I,COLUMN($H$1),0)</f>
        <v>wagner.ferreira</v>
      </c>
      <c r="F322" s="2" t="str">
        <f>VLOOKUP(Tabela1[[#This Row],[Avaliador]],Usuários!$A:$I,COLUMN($I$1),0)</f>
        <v>260wf!@</v>
      </c>
      <c r="G322" s="2" t="str">
        <f>VLOOKUP(Tabela1[[#This Row],[Participante]],Usuários!$A:$I,COLUMN($H$1),0)</f>
        <v>andre.nascimento</v>
      </c>
      <c r="H322" s="2" t="str">
        <f>VLOOKUP(Tabela1[[#This Row],[Participante]],Usuários!$A:$I,COLUMN($I$1),0)</f>
        <v>813an!@</v>
      </c>
      <c r="I322" s="1" t="s">
        <v>16</v>
      </c>
      <c r="J322" s="1" t="s">
        <v>16</v>
      </c>
      <c r="K322" t="s">
        <v>286</v>
      </c>
      <c r="L322" t="s">
        <v>307</v>
      </c>
      <c r="M322" t="str">
        <f>IF(Tabela1[[#This Row],[Tipo_aval]]="auto","Ok",IF(ISERROR(VLOOKUP(Tabela1[[#This Row],[Participante]],Atualização!$B:$B,1,FALSE)),"Ok","Atualizar"))</f>
        <v>Ok</v>
      </c>
      <c r="N32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2" t="str">
        <f>IF(IFERROR(VLOOKUP(Tabela1[[#This Row],[Novo_Avaliador]],Usuários!$A:$B,2,FALSE),"")="","",IFERROR(VLOOKUP(Tabela1[[#This Row],[Novo_Avaliador]],Usuários!$A:$B,2,FALSE),""))</f>
        <v>wagner.ferreira@enind.com.br</v>
      </c>
      <c r="P322" t="str">
        <f>IF(Tabela1[[#This Row],[Novo_Avaliador]]=Tabela1[[#This Row],[Avaliador]],"Sim","Não")</f>
        <v>Sim</v>
      </c>
      <c r="Q322" t="b">
        <f>Tabela1[[#This Row],[email_repres]]=Tabela1[[#This Row],[e-mail novo avaliador]]</f>
        <v>1</v>
      </c>
    </row>
    <row r="323" spans="1:17" x14ac:dyDescent="0.25">
      <c r="A323" t="s">
        <v>329</v>
      </c>
      <c r="B323" t="s">
        <v>272</v>
      </c>
      <c r="C323" t="s">
        <v>286</v>
      </c>
      <c r="D323" t="s">
        <v>303</v>
      </c>
      <c r="E323" s="2" t="str">
        <f>VLOOKUP(Tabela1[[#This Row],[Avaliador]],Usuários!A:I,COLUMN($H$1),0)</f>
        <v>wagner.ferreira</v>
      </c>
      <c r="F323" s="2" t="str">
        <f>VLOOKUP(Tabela1[[#This Row],[Avaliador]],Usuários!$A:$I,COLUMN($I$1),0)</f>
        <v>260wf!@</v>
      </c>
      <c r="G323" s="2" t="str">
        <f>VLOOKUP(Tabela1[[#This Row],[Participante]],Usuários!$A:$I,COLUMN($H$1),0)</f>
        <v>eder.fernandes</v>
      </c>
      <c r="H323" s="2" t="str">
        <f>VLOOKUP(Tabela1[[#This Row],[Participante]],Usuários!$A:$I,COLUMN($I$1),0)</f>
        <v>130ef!@</v>
      </c>
      <c r="I323" s="1" t="s">
        <v>16</v>
      </c>
      <c r="J323" s="1" t="s">
        <v>16</v>
      </c>
      <c r="K323" t="s">
        <v>286</v>
      </c>
      <c r="L323" t="s">
        <v>307</v>
      </c>
      <c r="M323" t="str">
        <f>IF(Tabela1[[#This Row],[Tipo_aval]]="auto","Ok",IF(ISERROR(VLOOKUP(Tabela1[[#This Row],[Participante]],Atualização!$B:$B,1,FALSE)),"Ok","Atualizar"))</f>
        <v>Ok</v>
      </c>
      <c r="N32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3" t="str">
        <f>IF(IFERROR(VLOOKUP(Tabela1[[#This Row],[Novo_Avaliador]],Usuários!$A:$B,2,FALSE),"")="","",IFERROR(VLOOKUP(Tabela1[[#This Row],[Novo_Avaliador]],Usuários!$A:$B,2,FALSE),""))</f>
        <v>wagner.ferreira@enind.com.br</v>
      </c>
      <c r="P323" t="str">
        <f>IF(Tabela1[[#This Row],[Novo_Avaliador]]=Tabela1[[#This Row],[Avaliador]],"Sim","Não")</f>
        <v>Sim</v>
      </c>
      <c r="Q323" t="b">
        <f>Tabela1[[#This Row],[email_repres]]=Tabela1[[#This Row],[e-mail novo avaliador]]</f>
        <v>1</v>
      </c>
    </row>
    <row r="324" spans="1:17" x14ac:dyDescent="0.25">
      <c r="A324" t="s">
        <v>330</v>
      </c>
      <c r="B324" t="s">
        <v>272</v>
      </c>
      <c r="C324" t="s">
        <v>286</v>
      </c>
      <c r="D324" t="s">
        <v>303</v>
      </c>
      <c r="E324" s="2" t="str">
        <f>VLOOKUP(Tabela1[[#This Row],[Avaliador]],Usuários!A:I,COLUMN($H$1),0)</f>
        <v>wagner.ferreira</v>
      </c>
      <c r="F324" s="2" t="str">
        <f>VLOOKUP(Tabela1[[#This Row],[Avaliador]],Usuários!$A:$I,COLUMN($I$1),0)</f>
        <v>260wf!@</v>
      </c>
      <c r="G324" s="2" t="str">
        <f>VLOOKUP(Tabela1[[#This Row],[Participante]],Usuários!$A:$I,COLUMN($H$1),0)</f>
        <v>emerson.leo</v>
      </c>
      <c r="H324" s="2" t="str">
        <f>VLOOKUP(Tabela1[[#This Row],[Participante]],Usuários!$A:$I,COLUMN($I$1),0)</f>
        <v>714el!@</v>
      </c>
      <c r="I324" s="1" t="s">
        <v>16</v>
      </c>
      <c r="J324" s="1" t="s">
        <v>16</v>
      </c>
      <c r="K324" t="s">
        <v>286</v>
      </c>
      <c r="L324" t="s">
        <v>307</v>
      </c>
      <c r="M324" t="str">
        <f>IF(Tabela1[[#This Row],[Tipo_aval]]="auto","Ok",IF(ISERROR(VLOOKUP(Tabela1[[#This Row],[Participante]],Atualização!$B:$B,1,FALSE)),"Ok","Atualizar"))</f>
        <v>Ok</v>
      </c>
      <c r="N32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4" t="str">
        <f>IF(IFERROR(VLOOKUP(Tabela1[[#This Row],[Novo_Avaliador]],Usuários!$A:$B,2,FALSE),"")="","",IFERROR(VLOOKUP(Tabela1[[#This Row],[Novo_Avaliador]],Usuários!$A:$B,2,FALSE),""))</f>
        <v>wagner.ferreira@enind.com.br</v>
      </c>
      <c r="P324" t="str">
        <f>IF(Tabela1[[#This Row],[Novo_Avaliador]]=Tabela1[[#This Row],[Avaliador]],"Sim","Não")</f>
        <v>Sim</v>
      </c>
      <c r="Q324" t="b">
        <f>Tabela1[[#This Row],[email_repres]]=Tabela1[[#This Row],[e-mail novo avaliador]]</f>
        <v>1</v>
      </c>
    </row>
    <row r="325" spans="1:17" x14ac:dyDescent="0.25">
      <c r="A325" t="s">
        <v>335</v>
      </c>
      <c r="B325" t="s">
        <v>272</v>
      </c>
      <c r="C325" t="s">
        <v>286</v>
      </c>
      <c r="D325" t="s">
        <v>303</v>
      </c>
      <c r="E325" s="2" t="str">
        <f>VLOOKUP(Tabela1[[#This Row],[Avaliador]],Usuários!A:I,COLUMN($H$1),0)</f>
        <v>wagner.ferreira</v>
      </c>
      <c r="F325" s="2" t="str">
        <f>VLOOKUP(Tabela1[[#This Row],[Avaliador]],Usuários!$A:$I,COLUMN($I$1),0)</f>
        <v>260wf!@</v>
      </c>
      <c r="G325" s="2" t="str">
        <f>VLOOKUP(Tabela1[[#This Row],[Participante]],Usuários!$A:$I,COLUMN($H$1),0)</f>
        <v>jose.filho</v>
      </c>
      <c r="H325" s="2" t="str">
        <f>VLOOKUP(Tabela1[[#This Row],[Participante]],Usuários!$A:$I,COLUMN($I$1),0)</f>
        <v>058jf!@</v>
      </c>
      <c r="I325" s="1" t="s">
        <v>16</v>
      </c>
      <c r="J325" s="1" t="s">
        <v>16</v>
      </c>
      <c r="K325" t="s">
        <v>286</v>
      </c>
      <c r="L325" t="s">
        <v>307</v>
      </c>
      <c r="M325" t="str">
        <f>IF(Tabela1[[#This Row],[Tipo_aval]]="auto","Ok",IF(ISERROR(VLOOKUP(Tabela1[[#This Row],[Participante]],Atualização!$B:$B,1,FALSE)),"Ok","Atualizar"))</f>
        <v>Ok</v>
      </c>
      <c r="N32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5" t="str">
        <f>IF(IFERROR(VLOOKUP(Tabela1[[#This Row],[Novo_Avaliador]],Usuários!$A:$B,2,FALSE),"")="","",IFERROR(VLOOKUP(Tabela1[[#This Row],[Novo_Avaliador]],Usuários!$A:$B,2,FALSE),""))</f>
        <v>wagner.ferreira@enind.com.br</v>
      </c>
      <c r="P325" t="str">
        <f>IF(Tabela1[[#This Row],[Novo_Avaliador]]=Tabela1[[#This Row],[Avaliador]],"Sim","Não")</f>
        <v>Sim</v>
      </c>
      <c r="Q325" t="b">
        <f>Tabela1[[#This Row],[email_repres]]=Tabela1[[#This Row],[e-mail novo avaliador]]</f>
        <v>1</v>
      </c>
    </row>
    <row r="326" spans="1:17" x14ac:dyDescent="0.25">
      <c r="A326" t="s">
        <v>341</v>
      </c>
      <c r="B326" t="s">
        <v>272</v>
      </c>
      <c r="C326" t="s">
        <v>286</v>
      </c>
      <c r="D326" t="s">
        <v>303</v>
      </c>
      <c r="E326" s="2" t="str">
        <f>VLOOKUP(Tabela1[[#This Row],[Avaliador]],Usuários!A:I,COLUMN($H$1),0)</f>
        <v>wagner.ferreira</v>
      </c>
      <c r="F326" s="2" t="str">
        <f>VLOOKUP(Tabela1[[#This Row],[Avaliador]],Usuários!$A:$I,COLUMN($I$1),0)</f>
        <v>260wf!@</v>
      </c>
      <c r="G326" s="2" t="str">
        <f>VLOOKUP(Tabela1[[#This Row],[Participante]],Usuários!$A:$I,COLUMN($H$1),0)</f>
        <v>marcos.queiroz</v>
      </c>
      <c r="H326" s="2" t="str">
        <f>VLOOKUP(Tabela1[[#This Row],[Participante]],Usuários!$A:$I,COLUMN($I$1),0)</f>
        <v>684mq!@</v>
      </c>
      <c r="I326" s="1" t="s">
        <v>16</v>
      </c>
      <c r="J326" s="1" t="s">
        <v>16</v>
      </c>
      <c r="K326" t="s">
        <v>286</v>
      </c>
      <c r="L326" t="s">
        <v>307</v>
      </c>
      <c r="M326" t="str">
        <f>IF(Tabela1[[#This Row],[Tipo_aval]]="auto","Ok",IF(ISERROR(VLOOKUP(Tabela1[[#This Row],[Participante]],Atualização!$B:$B,1,FALSE)),"Ok","Atualizar"))</f>
        <v>Ok</v>
      </c>
      <c r="N32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Wagner Souza Ferreira</v>
      </c>
      <c r="O326" t="str">
        <f>IF(IFERROR(VLOOKUP(Tabela1[[#This Row],[Novo_Avaliador]],Usuários!$A:$B,2,FALSE),"")="","",IFERROR(VLOOKUP(Tabela1[[#This Row],[Novo_Avaliador]],Usuários!$A:$B,2,FALSE),""))</f>
        <v>wagner.ferreira@enind.com.br</v>
      </c>
      <c r="P326" t="str">
        <f>IF(Tabela1[[#This Row],[Novo_Avaliador]]=Tabela1[[#This Row],[Avaliador]],"Sim","Não")</f>
        <v>Sim</v>
      </c>
      <c r="Q326" t="b">
        <f>Tabela1[[#This Row],[email_repres]]=Tabela1[[#This Row],[e-mail novo avaliador]]</f>
        <v>1</v>
      </c>
    </row>
    <row r="327" spans="1:17" x14ac:dyDescent="0.25">
      <c r="A327" t="s">
        <v>222</v>
      </c>
      <c r="B327" t="s">
        <v>71</v>
      </c>
      <c r="C327" t="s">
        <v>290</v>
      </c>
      <c r="D327" t="s">
        <v>303</v>
      </c>
      <c r="E327" s="2" t="str">
        <f>VLOOKUP(Tabela1[[#This Row],[Avaliador]],Usuários!A:I,COLUMN($H$1),0)</f>
        <v>wilson.fernandes</v>
      </c>
      <c r="F327" s="2" t="str">
        <f>VLOOKUP(Tabela1[[#This Row],[Avaliador]],Usuários!$A:$I,COLUMN($I$1),0)</f>
        <v>571wf!@</v>
      </c>
      <c r="G327" s="2" t="str">
        <f>VLOOKUP(Tabela1[[#This Row],[Participante]],Usuários!$A:$I,COLUMN($H$1),0)</f>
        <v>luciano.bastos</v>
      </c>
      <c r="H327" s="2" t="str">
        <f>VLOOKUP(Tabela1[[#This Row],[Participante]],Usuários!$A:$I,COLUMN($I$1),0)</f>
        <v>428lb!@</v>
      </c>
      <c r="I327" s="1" t="s">
        <v>16</v>
      </c>
      <c r="J327" s="1" t="s">
        <v>16</v>
      </c>
      <c r="K327" t="str">
        <f>Tabela1[[#This Row],[Email]]</f>
        <v>wilson.fernandes@enind.com.br</v>
      </c>
      <c r="L327" t="s">
        <v>309</v>
      </c>
      <c r="M327" t="str">
        <f>IF(Tabela1[[#This Row],[Tipo_aval]]="auto","Ok",IF(ISERROR(VLOOKUP(Tabela1[[#This Row],[Participante]],Atualização!$B:$B,1,FALSE)),"Ok","Atualizar"))</f>
        <v>Atualizar</v>
      </c>
      <c r="N32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27" t="str">
        <f>IF(IFERROR(VLOOKUP(Tabela1[[#This Row],[Novo_Avaliador]],Usuários!$A:$B,2,FALSE),"")="","",IFERROR(VLOOKUP(Tabela1[[#This Row],[Novo_Avaliador]],Usuários!$A:$B,2,FALSE),""))</f>
        <v>wilson.fernandes@enind.com.br</v>
      </c>
      <c r="P327" t="str">
        <f>IF(Tabela1[[#This Row],[Novo_Avaliador]]=Tabela1[[#This Row],[Avaliador]],"Sim","Não")</f>
        <v>Sim</v>
      </c>
      <c r="Q327" t="b">
        <f>Tabela1[[#This Row],[email_repres]]=Tabela1[[#This Row],[e-mail novo avaliador]]</f>
        <v>1</v>
      </c>
    </row>
    <row r="328" spans="1:17" x14ac:dyDescent="0.25">
      <c r="A328" s="2" t="s">
        <v>15</v>
      </c>
      <c r="B328" s="2" t="s">
        <v>15</v>
      </c>
      <c r="C328" s="2" t="s">
        <v>287</v>
      </c>
      <c r="D328" s="2" t="s">
        <v>295</v>
      </c>
      <c r="E328" s="2" t="str">
        <f>VLOOKUP(Tabela1[[#This Row],[Avaliador]],Usuários!A:I,COLUMN($H$1),0)</f>
        <v>welton.martins</v>
      </c>
      <c r="F328" s="2" t="str">
        <f>VLOOKUP(Tabela1[[#This Row],[Avaliador]],Usuários!$A:$I,COLUMN($I$1),0)</f>
        <v>965wm!@</v>
      </c>
      <c r="G328" s="2" t="str">
        <f>VLOOKUP(Tabela1[[#This Row],[Participante]],Usuários!$A:$I,COLUMN($H$1),0)</f>
        <v>welton.martins</v>
      </c>
      <c r="H328" s="2" t="str">
        <f>VLOOKUP(Tabela1[[#This Row],[Participante]],Usuários!$A:$I,COLUMN($I$1),0)</f>
        <v>965wm!@</v>
      </c>
      <c r="I328" s="1" t="s">
        <v>6</v>
      </c>
      <c r="J328" s="1" t="s">
        <v>16</v>
      </c>
      <c r="K328" t="s">
        <v>287</v>
      </c>
      <c r="L328" t="s">
        <v>309</v>
      </c>
      <c r="M328" t="str">
        <f>IF(Tabela1[[#This Row],[Tipo_aval]]="auto","Ok",IF(ISERROR(VLOOKUP(Tabela1[[#This Row],[Participante]],Atualização!$B:$B,1,FALSE)),"Ok","Atualizar"))</f>
        <v>Ok</v>
      </c>
      <c r="N32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28" t="str">
        <f>IF(IFERROR(VLOOKUP(Tabela1[[#This Row],[Novo_Avaliador]],Usuários!$A:$B,2,FALSE),"")="","",IFERROR(VLOOKUP(Tabela1[[#This Row],[Novo_Avaliador]],Usuários!$A:$B,2,FALSE),""))</f>
        <v>welton.martins@enind.com.br</v>
      </c>
      <c r="P328" t="str">
        <f>IF(Tabela1[[#This Row],[Novo_Avaliador]]=Tabela1[[#This Row],[Avaliador]],"Sim","Não")</f>
        <v>Sim</v>
      </c>
      <c r="Q328" t="b">
        <f>Tabela1[[#This Row],[email_repres]]=Tabela1[[#This Row],[e-mail novo avaliador]]</f>
        <v>1</v>
      </c>
    </row>
    <row r="329" spans="1:17" x14ac:dyDescent="0.25">
      <c r="A329" s="2" t="s">
        <v>10</v>
      </c>
      <c r="B329" s="2" t="s">
        <v>15</v>
      </c>
      <c r="C329" s="2" t="s">
        <v>287</v>
      </c>
      <c r="D329" s="2" t="s">
        <v>297</v>
      </c>
      <c r="E329" s="2" t="str">
        <f>VLOOKUP(Tabela1[[#This Row],[Avaliador]],Usuários!A:I,COLUMN($H$1),0)</f>
        <v>welton.martins</v>
      </c>
      <c r="F329" s="2" t="str">
        <f>VLOOKUP(Tabela1[[#This Row],[Avaliador]],Usuários!$A:$I,COLUMN($I$1),0)</f>
        <v>965wm!@</v>
      </c>
      <c r="G329" s="2" t="str">
        <f>VLOOKUP(Tabela1[[#This Row],[Participante]],Usuários!$A:$I,COLUMN($H$1),0)</f>
        <v>everaldo.silva</v>
      </c>
      <c r="H329" s="2" t="str">
        <f>VLOOKUP(Tabela1[[#This Row],[Participante]],Usuários!$A:$I,COLUMN($I$1),0)</f>
        <v>157es!@</v>
      </c>
      <c r="I329" s="1" t="s">
        <v>16</v>
      </c>
      <c r="J329" s="1" t="s">
        <v>16</v>
      </c>
      <c r="K329" t="s">
        <v>287</v>
      </c>
      <c r="L329" t="s">
        <v>309</v>
      </c>
      <c r="M329" t="str">
        <f>IF(Tabela1[[#This Row],[Tipo_aval]]="auto","Ok",IF(ISERROR(VLOOKUP(Tabela1[[#This Row],[Participante]],Atualização!$B:$B,1,FALSE)),"Ok","Atualizar"))</f>
        <v>Ok</v>
      </c>
      <c r="N32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29" t="str">
        <f>IF(IFERROR(VLOOKUP(Tabela1[[#This Row],[Novo_Avaliador]],Usuários!$A:$B,2,FALSE),"")="","",IFERROR(VLOOKUP(Tabela1[[#This Row],[Novo_Avaliador]],Usuários!$A:$B,2,FALSE),""))</f>
        <v>welton.martins@enind.com.br</v>
      </c>
      <c r="P329" t="str">
        <f>IF(Tabela1[[#This Row],[Novo_Avaliador]]=Tabela1[[#This Row],[Avaliador]],"Sim","Não")</f>
        <v>Sim</v>
      </c>
      <c r="Q329" t="b">
        <f>Tabela1[[#This Row],[email_repres]]=Tabela1[[#This Row],[e-mail novo avaliador]]</f>
        <v>1</v>
      </c>
    </row>
    <row r="330" spans="1:17" x14ac:dyDescent="0.25">
      <c r="A330" t="s">
        <v>254</v>
      </c>
      <c r="B330" t="s">
        <v>15</v>
      </c>
      <c r="C330" t="s">
        <v>287</v>
      </c>
      <c r="D330" t="s">
        <v>297</v>
      </c>
      <c r="E330" s="2" t="str">
        <f>VLOOKUP(Tabela1[[#This Row],[Avaliador]],Usuários!A:I,COLUMN($H$1),0)</f>
        <v>welton.martins</v>
      </c>
      <c r="F330" s="2" t="str">
        <f>VLOOKUP(Tabela1[[#This Row],[Avaliador]],Usuários!$A:$I,COLUMN($I$1),0)</f>
        <v>965wm!@</v>
      </c>
      <c r="G330" s="2" t="str">
        <f>VLOOKUP(Tabela1[[#This Row],[Participante]],Usuários!$A:$I,COLUMN($H$1),0)</f>
        <v>rodolfo.moraes</v>
      </c>
      <c r="H330" s="2" t="str">
        <f>VLOOKUP(Tabela1[[#This Row],[Participante]],Usuários!$A:$I,COLUMN($I$1),0)</f>
        <v>129rm!@</v>
      </c>
      <c r="I330" s="1" t="s">
        <v>16</v>
      </c>
      <c r="J330" s="1" t="s">
        <v>16</v>
      </c>
      <c r="K330" t="s">
        <v>287</v>
      </c>
      <c r="L330" t="s">
        <v>309</v>
      </c>
      <c r="M330" t="str">
        <f>IF(Tabela1[[#This Row],[Tipo_aval]]="auto","Ok",IF(ISERROR(VLOOKUP(Tabela1[[#This Row],[Participante]],Atualização!$B:$B,1,FALSE)),"Ok","Atualizar"))</f>
        <v>Ok</v>
      </c>
      <c r="N33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0" t="str">
        <f>IF(IFERROR(VLOOKUP(Tabela1[[#This Row],[Novo_Avaliador]],Usuários!$A:$B,2,FALSE),"")="","",IFERROR(VLOOKUP(Tabela1[[#This Row],[Novo_Avaliador]],Usuários!$A:$B,2,FALSE),""))</f>
        <v>welton.martins@enind.com.br</v>
      </c>
      <c r="P330" t="str">
        <f>IF(Tabela1[[#This Row],[Novo_Avaliador]]=Tabela1[[#This Row],[Avaliador]],"Sim","Não")</f>
        <v>Sim</v>
      </c>
      <c r="Q330" t="b">
        <f>Tabela1[[#This Row],[email_repres]]=Tabela1[[#This Row],[e-mail novo avaliador]]</f>
        <v>1</v>
      </c>
    </row>
    <row r="331" spans="1:17" x14ac:dyDescent="0.25">
      <c r="A331" s="2" t="s">
        <v>3</v>
      </c>
      <c r="B331" s="2" t="s">
        <v>15</v>
      </c>
      <c r="C331" s="2" t="s">
        <v>287</v>
      </c>
      <c r="D331" s="2" t="s">
        <v>303</v>
      </c>
      <c r="E331" s="2" t="str">
        <f>VLOOKUP(Tabela1[[#This Row],[Avaliador]],Usuários!A:I,COLUMN($H$1),0)</f>
        <v>welton.martins</v>
      </c>
      <c r="F331" s="2" t="str">
        <f>VLOOKUP(Tabela1[[#This Row],[Avaliador]],Usuários!$A:$I,COLUMN($I$1),0)</f>
        <v>965wm!@</v>
      </c>
      <c r="G331" s="2" t="str">
        <f>VLOOKUP(Tabela1[[#This Row],[Participante]],Usuários!$A:$I,COLUMN($H$1),0)</f>
        <v>adenilson.castro</v>
      </c>
      <c r="H331" s="2" t="str">
        <f>VLOOKUP(Tabela1[[#This Row],[Participante]],Usuários!$A:$I,COLUMN($I$1),0)</f>
        <v>049ac!@</v>
      </c>
      <c r="I331" s="1" t="s">
        <v>16</v>
      </c>
      <c r="J331" s="1" t="s">
        <v>16</v>
      </c>
      <c r="K331" t="s">
        <v>287</v>
      </c>
      <c r="L331" t="s">
        <v>307</v>
      </c>
      <c r="M331" t="str">
        <f>IF(Tabela1[[#This Row],[Tipo_aval]]="auto","Ok",IF(ISERROR(VLOOKUP(Tabela1[[#This Row],[Participante]],Atualização!$B:$B,1,FALSE)),"Ok","Atualizar"))</f>
        <v>Ok</v>
      </c>
      <c r="N33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1" t="str">
        <f>IF(IFERROR(VLOOKUP(Tabela1[[#This Row],[Novo_Avaliador]],Usuários!$A:$B,2,FALSE),"")="","",IFERROR(VLOOKUP(Tabela1[[#This Row],[Novo_Avaliador]],Usuários!$A:$B,2,FALSE),""))</f>
        <v>welton.martins@enind.com.br</v>
      </c>
      <c r="P331" t="str">
        <f>IF(Tabela1[[#This Row],[Novo_Avaliador]]=Tabela1[[#This Row],[Avaliador]],"Sim","Não")</f>
        <v>Sim</v>
      </c>
      <c r="Q331" t="b">
        <f>Tabela1[[#This Row],[email_repres]]=Tabela1[[#This Row],[e-mail novo avaliador]]</f>
        <v>1</v>
      </c>
    </row>
    <row r="332" spans="1:17" x14ac:dyDescent="0.25">
      <c r="A332" s="2" t="s">
        <v>9</v>
      </c>
      <c r="B332" s="2" t="s">
        <v>15</v>
      </c>
      <c r="C332" s="2" t="s">
        <v>287</v>
      </c>
      <c r="D332" s="2" t="s">
        <v>303</v>
      </c>
      <c r="E332" s="2" t="str">
        <f>VLOOKUP(Tabela1[[#This Row],[Avaliador]],Usuários!A:I,COLUMN($H$1),0)</f>
        <v>welton.martins</v>
      </c>
      <c r="F332" s="2" t="str">
        <f>VLOOKUP(Tabela1[[#This Row],[Avaliador]],Usuários!$A:$I,COLUMN($I$1),0)</f>
        <v>965wm!@</v>
      </c>
      <c r="G332" s="2" t="str">
        <f>VLOOKUP(Tabela1[[#This Row],[Participante]],Usuários!$A:$I,COLUMN($H$1),0)</f>
        <v>antonio.lima</v>
      </c>
      <c r="H332" s="2" t="str">
        <f>VLOOKUP(Tabela1[[#This Row],[Participante]],Usuários!$A:$I,COLUMN($I$1),0)</f>
        <v>034al!@</v>
      </c>
      <c r="I332" s="1" t="s">
        <v>16</v>
      </c>
      <c r="J332" s="1" t="s">
        <v>16</v>
      </c>
      <c r="K332" t="s">
        <v>287</v>
      </c>
      <c r="L332" t="s">
        <v>307</v>
      </c>
      <c r="M332" t="str">
        <f>IF(Tabela1[[#This Row],[Tipo_aval]]="auto","Ok",IF(ISERROR(VLOOKUP(Tabela1[[#This Row],[Participante]],Atualização!$B:$B,1,FALSE)),"Ok","Atualizar"))</f>
        <v>Ok</v>
      </c>
      <c r="N33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2" t="str">
        <f>IF(IFERROR(VLOOKUP(Tabela1[[#This Row],[Novo_Avaliador]],Usuários!$A:$B,2,FALSE),"")="","",IFERROR(VLOOKUP(Tabela1[[#This Row],[Novo_Avaliador]],Usuários!$A:$B,2,FALSE),""))</f>
        <v>welton.martins@enind.com.br</v>
      </c>
      <c r="P332" t="str">
        <f>IF(Tabela1[[#This Row],[Novo_Avaliador]]=Tabela1[[#This Row],[Avaliador]],"Sim","Não")</f>
        <v>Sim</v>
      </c>
      <c r="Q332" t="b">
        <f>Tabela1[[#This Row],[email_repres]]=Tabela1[[#This Row],[e-mail novo avaliador]]</f>
        <v>1</v>
      </c>
    </row>
    <row r="333" spans="1:17" x14ac:dyDescent="0.25">
      <c r="A333" s="2" t="s">
        <v>43</v>
      </c>
      <c r="B333" s="2" t="s">
        <v>15</v>
      </c>
      <c r="C333" s="2" t="s">
        <v>287</v>
      </c>
      <c r="D333" s="2" t="s">
        <v>303</v>
      </c>
      <c r="E333" s="2" t="str">
        <f>VLOOKUP(Tabela1[[#This Row],[Avaliador]],Usuários!A:I,COLUMN($H$1),0)</f>
        <v>welton.martins</v>
      </c>
      <c r="F333" s="2" t="str">
        <f>VLOOKUP(Tabela1[[#This Row],[Avaliador]],Usuários!$A:$I,COLUMN($I$1),0)</f>
        <v>965wm!@</v>
      </c>
      <c r="G333" s="2" t="str">
        <f>VLOOKUP(Tabela1[[#This Row],[Participante]],Usuários!$A:$I,COLUMN($H$1),0)</f>
        <v>bruno.castro</v>
      </c>
      <c r="H333" s="2" t="str">
        <f>VLOOKUP(Tabela1[[#This Row],[Participante]],Usuários!$A:$I,COLUMN($I$1),0)</f>
        <v>669bc!@</v>
      </c>
      <c r="I333" s="1" t="s">
        <v>16</v>
      </c>
      <c r="J333" s="1" t="s">
        <v>16</v>
      </c>
      <c r="K333" t="s">
        <v>287</v>
      </c>
      <c r="L333" t="s">
        <v>309</v>
      </c>
      <c r="M333" t="str">
        <f>IF(Tabela1[[#This Row],[Tipo_aval]]="auto","Ok",IF(ISERROR(VLOOKUP(Tabela1[[#This Row],[Participante]],Atualização!$B:$B,1,FALSE)),"Ok","Atualizar"))</f>
        <v>Ok</v>
      </c>
      <c r="N33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3" t="str">
        <f>IF(IFERROR(VLOOKUP(Tabela1[[#This Row],[Novo_Avaliador]],Usuários!$A:$B,2,FALSE),"")="","",IFERROR(VLOOKUP(Tabela1[[#This Row],[Novo_Avaliador]],Usuários!$A:$B,2,FALSE),""))</f>
        <v>welton.martins@enind.com.br</v>
      </c>
      <c r="P333" t="str">
        <f>IF(Tabela1[[#This Row],[Novo_Avaliador]]=Tabela1[[#This Row],[Avaliador]],"Sim","Não")</f>
        <v>Sim</v>
      </c>
      <c r="Q333" t="b">
        <f>Tabela1[[#This Row],[email_repres]]=Tabela1[[#This Row],[e-mail novo avaliador]]</f>
        <v>1</v>
      </c>
    </row>
    <row r="334" spans="1:17" x14ac:dyDescent="0.25">
      <c r="A334" t="s">
        <v>126</v>
      </c>
      <c r="B334" t="s">
        <v>15</v>
      </c>
      <c r="C334" t="s">
        <v>287</v>
      </c>
      <c r="D334" t="s">
        <v>303</v>
      </c>
      <c r="E334" s="2" t="str">
        <f>VLOOKUP(Tabela1[[#This Row],[Avaliador]],Usuários!A:I,COLUMN($H$1),0)</f>
        <v>welton.martins</v>
      </c>
      <c r="F334" s="2" t="str">
        <f>VLOOKUP(Tabela1[[#This Row],[Avaliador]],Usuários!$A:$I,COLUMN($I$1),0)</f>
        <v>965wm!@</v>
      </c>
      <c r="G334" s="2" t="str">
        <f>VLOOKUP(Tabela1[[#This Row],[Participante]],Usuários!$A:$I,COLUMN($H$1),0)</f>
        <v>ewerton.siqueira</v>
      </c>
      <c r="H334" s="2" t="str">
        <f>VLOOKUP(Tabela1[[#This Row],[Participante]],Usuários!$A:$I,COLUMN($I$1),0)</f>
        <v>630es!@</v>
      </c>
      <c r="I334" s="1" t="s">
        <v>16</v>
      </c>
      <c r="J334" s="1" t="s">
        <v>16</v>
      </c>
      <c r="K334" t="s">
        <v>287</v>
      </c>
      <c r="L334" t="s">
        <v>307</v>
      </c>
      <c r="M334" t="str">
        <f>IF(Tabela1[[#This Row],[Tipo_aval]]="auto","Ok",IF(ISERROR(VLOOKUP(Tabela1[[#This Row],[Participante]],Atualização!$B:$B,1,FALSE)),"Ok","Atualizar"))</f>
        <v>Ok</v>
      </c>
      <c r="N33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4" t="str">
        <f>IF(IFERROR(VLOOKUP(Tabela1[[#This Row],[Novo_Avaliador]],Usuários!$A:$B,2,FALSE),"")="","",IFERROR(VLOOKUP(Tabela1[[#This Row],[Novo_Avaliador]],Usuários!$A:$B,2,FALSE),""))</f>
        <v>welton.martins@enind.com.br</v>
      </c>
      <c r="P334" t="str">
        <f>IF(Tabela1[[#This Row],[Novo_Avaliador]]=Tabela1[[#This Row],[Avaliador]],"Sim","Não")</f>
        <v>Sim</v>
      </c>
      <c r="Q334" t="b">
        <f>Tabela1[[#This Row],[email_repres]]=Tabela1[[#This Row],[e-mail novo avaliador]]</f>
        <v>1</v>
      </c>
    </row>
    <row r="335" spans="1:17" x14ac:dyDescent="0.25">
      <c r="A335" s="2" t="s">
        <v>23</v>
      </c>
      <c r="B335" s="2" t="s">
        <v>15</v>
      </c>
      <c r="C335" s="2" t="s">
        <v>287</v>
      </c>
      <c r="D335" s="2" t="s">
        <v>303</v>
      </c>
      <c r="E335" s="2" t="str">
        <f>VLOOKUP(Tabela1[[#This Row],[Avaliador]],Usuários!A:I,COLUMN($H$1),0)</f>
        <v>welton.martins</v>
      </c>
      <c r="F335" s="2" t="str">
        <f>VLOOKUP(Tabela1[[#This Row],[Avaliador]],Usuários!$A:$I,COLUMN($I$1),0)</f>
        <v>965wm!@</v>
      </c>
      <c r="G335" s="2" t="str">
        <f>VLOOKUP(Tabela1[[#This Row],[Participante]],Usuários!$A:$I,COLUMN($H$1),0)</f>
        <v>jean.rocha</v>
      </c>
      <c r="H335" s="2" t="str">
        <f>VLOOKUP(Tabela1[[#This Row],[Participante]],Usuários!$A:$I,COLUMN($I$1),0)</f>
        <v>909jr!@</v>
      </c>
      <c r="I335" s="1" t="s">
        <v>16</v>
      </c>
      <c r="J335" s="1" t="s">
        <v>16</v>
      </c>
      <c r="K335" t="s">
        <v>287</v>
      </c>
      <c r="L335" t="s">
        <v>309</v>
      </c>
      <c r="M335" t="str">
        <f>IF(Tabela1[[#This Row],[Tipo_aval]]="auto","Ok",IF(ISERROR(VLOOKUP(Tabela1[[#This Row],[Participante]],Atualização!$B:$B,1,FALSE)),"Ok","Atualizar"))</f>
        <v>Ok</v>
      </c>
      <c r="N33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5" t="str">
        <f>IF(IFERROR(VLOOKUP(Tabela1[[#This Row],[Novo_Avaliador]],Usuários!$A:$B,2,FALSE),"")="","",IFERROR(VLOOKUP(Tabela1[[#This Row],[Novo_Avaliador]],Usuários!$A:$B,2,FALSE),""))</f>
        <v>welton.martins@enind.com.br</v>
      </c>
      <c r="P335" t="str">
        <f>IF(Tabela1[[#This Row],[Novo_Avaliador]]=Tabela1[[#This Row],[Avaliador]],"Sim","Não")</f>
        <v>Sim</v>
      </c>
      <c r="Q335" t="b">
        <f>Tabela1[[#This Row],[email_repres]]=Tabela1[[#This Row],[e-mail novo avaliador]]</f>
        <v>1</v>
      </c>
    </row>
    <row r="336" spans="1:17" x14ac:dyDescent="0.25">
      <c r="A336" t="s">
        <v>129</v>
      </c>
      <c r="B336" t="s">
        <v>15</v>
      </c>
      <c r="C336" t="s">
        <v>287</v>
      </c>
      <c r="D336" t="s">
        <v>303</v>
      </c>
      <c r="E336" s="2" t="str">
        <f>VLOOKUP(Tabela1[[#This Row],[Avaliador]],Usuários!A:I,COLUMN($H$1),0)</f>
        <v>welton.martins</v>
      </c>
      <c r="F336" s="2" t="str">
        <f>VLOOKUP(Tabela1[[#This Row],[Avaliador]],Usuários!$A:$I,COLUMN($I$1),0)</f>
        <v>965wm!@</v>
      </c>
      <c r="G336" s="2" t="str">
        <f>VLOOKUP(Tabela1[[#This Row],[Participante]],Usuários!$A:$I,COLUMN($H$1),0)</f>
        <v>marcilio.silva</v>
      </c>
      <c r="H336" s="2" t="str">
        <f>VLOOKUP(Tabela1[[#This Row],[Participante]],Usuários!$A:$I,COLUMN($I$1),0)</f>
        <v>187ms!@</v>
      </c>
      <c r="I336" s="1" t="s">
        <v>16</v>
      </c>
      <c r="J336" s="1" t="s">
        <v>16</v>
      </c>
      <c r="K336" t="s">
        <v>287</v>
      </c>
      <c r="L336" t="s">
        <v>307</v>
      </c>
      <c r="M336" t="str">
        <f>IF(Tabela1[[#This Row],[Tipo_aval]]="auto","Ok",IF(ISERROR(VLOOKUP(Tabela1[[#This Row],[Participante]],Atualização!$B:$B,1,FALSE)),"Ok","Atualizar"))</f>
        <v>Ok</v>
      </c>
      <c r="N33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6" t="str">
        <f>IF(IFERROR(VLOOKUP(Tabela1[[#This Row],[Novo_Avaliador]],Usuários!$A:$B,2,FALSE),"")="","",IFERROR(VLOOKUP(Tabela1[[#This Row],[Novo_Avaliador]],Usuários!$A:$B,2,FALSE),""))</f>
        <v>welton.martins@enind.com.br</v>
      </c>
      <c r="P336" t="str">
        <f>IF(Tabela1[[#This Row],[Novo_Avaliador]]=Tabela1[[#This Row],[Avaliador]],"Sim","Não")</f>
        <v>Sim</v>
      </c>
      <c r="Q336" t="b">
        <f>Tabela1[[#This Row],[email_repres]]=Tabela1[[#This Row],[e-mail novo avaliador]]</f>
        <v>1</v>
      </c>
    </row>
    <row r="337" spans="1:17" x14ac:dyDescent="0.25">
      <c r="A337" t="s">
        <v>51</v>
      </c>
      <c r="B337" t="s">
        <v>15</v>
      </c>
      <c r="C337" t="s">
        <v>287</v>
      </c>
      <c r="D337" t="s">
        <v>303</v>
      </c>
      <c r="E337" s="2" t="str">
        <f>VLOOKUP(Tabela1[[#This Row],[Avaliador]],Usuários!A:I,COLUMN($H$1),0)</f>
        <v>welton.martins</v>
      </c>
      <c r="F337" s="2" t="str">
        <f>VLOOKUP(Tabela1[[#This Row],[Avaliador]],Usuários!$A:$I,COLUMN($I$1),0)</f>
        <v>965wm!@</v>
      </c>
      <c r="G337" s="2" t="str">
        <f>VLOOKUP(Tabela1[[#This Row],[Participante]],Usuários!$A:$I,COLUMN($H$1),0)</f>
        <v>marcio.salomao</v>
      </c>
      <c r="H337" s="2" t="str">
        <f>VLOOKUP(Tabela1[[#This Row],[Participante]],Usuários!$A:$I,COLUMN($I$1),0)</f>
        <v>872ms!@</v>
      </c>
      <c r="I337" s="1" t="s">
        <v>16</v>
      </c>
      <c r="J337" s="1" t="s">
        <v>16</v>
      </c>
      <c r="K337" t="s">
        <v>287</v>
      </c>
      <c r="L337" t="s">
        <v>307</v>
      </c>
      <c r="M337" t="str">
        <f>IF(Tabela1[[#This Row],[Tipo_aval]]="auto","Ok",IF(ISERROR(VLOOKUP(Tabela1[[#This Row],[Participante]],Atualização!$B:$B,1,FALSE)),"Ok","Atualizar"))</f>
        <v>Ok</v>
      </c>
      <c r="N33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7" t="str">
        <f>IF(IFERROR(VLOOKUP(Tabela1[[#This Row],[Novo_Avaliador]],Usuários!$A:$B,2,FALSE),"")="","",IFERROR(VLOOKUP(Tabela1[[#This Row],[Novo_Avaliador]],Usuários!$A:$B,2,FALSE),""))</f>
        <v>welton.martins@enind.com.br</v>
      </c>
      <c r="P337" t="str">
        <f>IF(Tabela1[[#This Row],[Novo_Avaliador]]=Tabela1[[#This Row],[Avaliador]],"Sim","Não")</f>
        <v>Sim</v>
      </c>
      <c r="Q337" t="b">
        <f>Tabela1[[#This Row],[email_repres]]=Tabela1[[#This Row],[e-mail novo avaliador]]</f>
        <v>1</v>
      </c>
    </row>
    <row r="338" spans="1:17" x14ac:dyDescent="0.25">
      <c r="A338" t="s">
        <v>57</v>
      </c>
      <c r="B338" t="s">
        <v>15</v>
      </c>
      <c r="C338" t="s">
        <v>287</v>
      </c>
      <c r="D338" t="s">
        <v>303</v>
      </c>
      <c r="E338" s="2" t="str">
        <f>VLOOKUP(Tabela1[[#This Row],[Avaliador]],Usuários!A:I,COLUMN($H$1),0)</f>
        <v>welton.martins</v>
      </c>
      <c r="F338" s="2" t="str">
        <f>VLOOKUP(Tabela1[[#This Row],[Avaliador]],Usuários!$A:$I,COLUMN($I$1),0)</f>
        <v>965wm!@</v>
      </c>
      <c r="G338" s="2" t="str">
        <f>VLOOKUP(Tabela1[[#This Row],[Participante]],Usuários!$A:$I,COLUMN($H$1),0)</f>
        <v>nazareno.neto</v>
      </c>
      <c r="H338" s="2" t="str">
        <f>VLOOKUP(Tabela1[[#This Row],[Participante]],Usuários!$A:$I,COLUMN($I$1),0)</f>
        <v>202nn!@</v>
      </c>
      <c r="I338" s="1" t="s">
        <v>16</v>
      </c>
      <c r="J338" s="1" t="s">
        <v>16</v>
      </c>
      <c r="K338" t="s">
        <v>287</v>
      </c>
      <c r="L338" t="s">
        <v>307</v>
      </c>
      <c r="M338" t="str">
        <f>IF(Tabela1[[#This Row],[Tipo_aval]]="auto","Ok",IF(ISERROR(VLOOKUP(Tabela1[[#This Row],[Participante]],Atualização!$B:$B,1,FALSE)),"Ok","Atualizar"))</f>
        <v>Ok</v>
      </c>
      <c r="N33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8" t="str">
        <f>IF(IFERROR(VLOOKUP(Tabela1[[#This Row],[Novo_Avaliador]],Usuários!$A:$B,2,FALSE),"")="","",IFERROR(VLOOKUP(Tabela1[[#This Row],[Novo_Avaliador]],Usuários!$A:$B,2,FALSE),""))</f>
        <v>welton.martins@enind.com.br</v>
      </c>
      <c r="P338" t="str">
        <f>IF(Tabela1[[#This Row],[Novo_Avaliador]]=Tabela1[[#This Row],[Avaliador]],"Sim","Não")</f>
        <v>Sim</v>
      </c>
      <c r="Q338" t="b">
        <f>Tabela1[[#This Row],[email_repres]]=Tabela1[[#This Row],[e-mail novo avaliador]]</f>
        <v>1</v>
      </c>
    </row>
    <row r="339" spans="1:17" x14ac:dyDescent="0.25">
      <c r="A339" t="s">
        <v>277</v>
      </c>
      <c r="B339" t="s">
        <v>15</v>
      </c>
      <c r="C339" t="s">
        <v>287</v>
      </c>
      <c r="D339" t="s">
        <v>303</v>
      </c>
      <c r="E339" s="2" t="str">
        <f>VLOOKUP(Tabela1[[#This Row],[Avaliador]],Usuários!A:I,COLUMN($H$1),0)</f>
        <v>welton.martins</v>
      </c>
      <c r="F339" s="2" t="str">
        <f>VLOOKUP(Tabela1[[#This Row],[Avaliador]],Usuários!$A:$I,COLUMN($I$1),0)</f>
        <v>965wm!@</v>
      </c>
      <c r="G339" s="2" t="str">
        <f>VLOOKUP(Tabela1[[#This Row],[Participante]],Usuários!$A:$I,COLUMN($H$1),0)</f>
        <v>ubiara.batista</v>
      </c>
      <c r="H339" s="2" t="str">
        <f>VLOOKUP(Tabela1[[#This Row],[Participante]],Usuários!$A:$I,COLUMN($I$1),0)</f>
        <v>868ub!@</v>
      </c>
      <c r="I339" s="1" t="s">
        <v>16</v>
      </c>
      <c r="J339" s="1" t="s">
        <v>16</v>
      </c>
      <c r="K339" t="s">
        <v>287</v>
      </c>
      <c r="L339" t="s">
        <v>307</v>
      </c>
      <c r="M339" t="str">
        <f>IF(Tabela1[[#This Row],[Tipo_aval]]="auto","Ok",IF(ISERROR(VLOOKUP(Tabela1[[#This Row],[Participante]],Atualização!$B:$B,1,FALSE)),"Ok","Atualizar"))</f>
        <v>Ok</v>
      </c>
      <c r="N33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39" t="str">
        <f>IF(IFERROR(VLOOKUP(Tabela1[[#This Row],[Novo_Avaliador]],Usuários!$A:$B,2,FALSE),"")="","",IFERROR(VLOOKUP(Tabela1[[#This Row],[Novo_Avaliador]],Usuários!$A:$B,2,FALSE),""))</f>
        <v>welton.martins@enind.com.br</v>
      </c>
      <c r="P339" t="str">
        <f>IF(Tabela1[[#This Row],[Novo_Avaliador]]=Tabela1[[#This Row],[Avaliador]],"Sim","Não")</f>
        <v>Sim</v>
      </c>
      <c r="Q339" t="b">
        <f>Tabela1[[#This Row],[email_repres]]=Tabela1[[#This Row],[e-mail novo avaliador]]</f>
        <v>1</v>
      </c>
    </row>
    <row r="340" spans="1:17" x14ac:dyDescent="0.25">
      <c r="A340" t="s">
        <v>266</v>
      </c>
      <c r="B340" t="s">
        <v>15</v>
      </c>
      <c r="C340" t="s">
        <v>287</v>
      </c>
      <c r="D340" t="s">
        <v>303</v>
      </c>
      <c r="E340" s="2" t="str">
        <f>VLOOKUP(Tabela1[[#This Row],[Avaliador]],Usuários!A:I,COLUMN($H$1),0)</f>
        <v>welton.martins</v>
      </c>
      <c r="F340" s="2" t="str">
        <f>VLOOKUP(Tabela1[[#This Row],[Avaliador]],Usuários!$A:$I,COLUMN($I$1),0)</f>
        <v>965wm!@</v>
      </c>
      <c r="G340" s="2" t="str">
        <f>VLOOKUP(Tabela1[[#This Row],[Participante]],Usuários!$A:$I,COLUMN($H$1),0)</f>
        <v>vinicius.xisto</v>
      </c>
      <c r="H340" s="2" t="str">
        <f>VLOOKUP(Tabela1[[#This Row],[Participante]],Usuários!$A:$I,COLUMN($I$1),0)</f>
        <v>790vx!@</v>
      </c>
      <c r="I340" s="1" t="s">
        <v>16</v>
      </c>
      <c r="J340" s="1" t="s">
        <v>16</v>
      </c>
      <c r="K340" t="s">
        <v>287</v>
      </c>
      <c r="L340" t="s">
        <v>309</v>
      </c>
      <c r="M340" t="str">
        <f>IF(Tabela1[[#This Row],[Tipo_aval]]="auto","Ok",IF(ISERROR(VLOOKUP(Tabela1[[#This Row],[Participante]],Atualização!$B:$B,1,FALSE)),"Ok","Atualizar"))</f>
        <v>Ok</v>
      </c>
      <c r="N34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0" t="str">
        <f>IF(IFERROR(VLOOKUP(Tabela1[[#This Row],[Novo_Avaliador]],Usuários!$A:$B,2,FALSE),"")="","",IFERROR(VLOOKUP(Tabela1[[#This Row],[Novo_Avaliador]],Usuários!$A:$B,2,FALSE),""))</f>
        <v>welton.martins@enind.com.br</v>
      </c>
      <c r="P340" t="str">
        <f>IF(Tabela1[[#This Row],[Novo_Avaliador]]=Tabela1[[#This Row],[Avaliador]],"Sim","Não")</f>
        <v>Sim</v>
      </c>
      <c r="Q340" t="b">
        <f>Tabela1[[#This Row],[email_repres]]=Tabela1[[#This Row],[e-mail novo avaliador]]</f>
        <v>1</v>
      </c>
    </row>
    <row r="341" spans="1:17" x14ac:dyDescent="0.25">
      <c r="A341" t="s">
        <v>206</v>
      </c>
      <c r="B341" t="s">
        <v>15</v>
      </c>
      <c r="C341" t="s">
        <v>287</v>
      </c>
      <c r="D341" t="s">
        <v>303</v>
      </c>
      <c r="E341" s="2" t="str">
        <f>VLOOKUP(Tabela1[[#This Row],[Avaliador]],Usuários!A:I,COLUMN($H$1),0)</f>
        <v>welton.martins</v>
      </c>
      <c r="F341" s="2" t="str">
        <f>VLOOKUP(Tabela1[[#This Row],[Avaliador]],Usuários!$A:$I,COLUMN($I$1),0)</f>
        <v>965wm!@</v>
      </c>
      <c r="G341" s="2" t="str">
        <f>VLOOKUP(Tabela1[[#This Row],[Participante]],Usuários!$A:$I,COLUMN($H$1),0)</f>
        <v>wagner.candido</v>
      </c>
      <c r="H341" s="2" t="str">
        <f>VLOOKUP(Tabela1[[#This Row],[Participante]],Usuários!$A:$I,COLUMN($I$1),0)</f>
        <v>168wc!@</v>
      </c>
      <c r="I341" s="1" t="s">
        <v>16</v>
      </c>
      <c r="J341" s="1" t="s">
        <v>16</v>
      </c>
      <c r="K341" t="s">
        <v>287</v>
      </c>
      <c r="L341" t="s">
        <v>307</v>
      </c>
      <c r="M341" t="str">
        <f>IF(Tabela1[[#This Row],[Tipo_aval]]="auto","Ok",IF(ISERROR(VLOOKUP(Tabela1[[#This Row],[Participante]],Atualização!$B:$B,1,FALSE)),"Ok","Atualizar"))</f>
        <v>Ok</v>
      </c>
      <c r="N34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1" t="str">
        <f>IF(IFERROR(VLOOKUP(Tabela1[[#This Row],[Novo_Avaliador]],Usuários!$A:$B,2,FALSE),"")="","",IFERROR(VLOOKUP(Tabela1[[#This Row],[Novo_Avaliador]],Usuários!$A:$B,2,FALSE),""))</f>
        <v>welton.martins@enind.com.br</v>
      </c>
      <c r="P341" t="str">
        <f>IF(Tabela1[[#This Row],[Novo_Avaliador]]=Tabela1[[#This Row],[Avaliador]],"Sim","Não")</f>
        <v>Sim</v>
      </c>
      <c r="Q341" t="b">
        <f>Tabela1[[#This Row],[email_repres]]=Tabela1[[#This Row],[e-mail novo avaliador]]</f>
        <v>1</v>
      </c>
    </row>
    <row r="342" spans="1:17" x14ac:dyDescent="0.25">
      <c r="A342" t="s">
        <v>316</v>
      </c>
      <c r="B342" t="s">
        <v>15</v>
      </c>
      <c r="C342" t="s">
        <v>287</v>
      </c>
      <c r="D342" t="s">
        <v>297</v>
      </c>
      <c r="E342" s="2" t="str">
        <f>VLOOKUP(Tabela1[[#This Row],[Avaliador]],Usuários!A:I,COLUMN($H$1),0)</f>
        <v>welton.martins</v>
      </c>
      <c r="F342" s="2" t="str">
        <f>VLOOKUP(Tabela1[[#This Row],[Avaliador]],Usuários!$A:$I,COLUMN($I$1),0)</f>
        <v>965wm!@</v>
      </c>
      <c r="G342" s="2" t="str">
        <f>VLOOKUP(Tabela1[[#This Row],[Participante]],Usuários!$A:$I,COLUMN($H$1),0)</f>
        <v>alexandre.armelin</v>
      </c>
      <c r="H342" s="2" t="str">
        <f>VLOOKUP(Tabela1[[#This Row],[Participante]],Usuários!$A:$I,COLUMN($I$1),0)</f>
        <v>729aa!@</v>
      </c>
      <c r="I342" s="1" t="s">
        <v>16</v>
      </c>
      <c r="J342" s="1" t="s">
        <v>16</v>
      </c>
      <c r="K342" t="s">
        <v>287</v>
      </c>
      <c r="L342" t="s">
        <v>307</v>
      </c>
      <c r="M342" t="str">
        <f>IF(Tabela1[[#This Row],[Tipo_aval]]="auto","Ok",IF(ISERROR(VLOOKUP(Tabela1[[#This Row],[Participante]],Atualização!$B:$B,1,FALSE)),"Ok","Atualizar"))</f>
        <v>Ok</v>
      </c>
      <c r="N34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2" t="str">
        <f>IF(IFERROR(VLOOKUP(Tabela1[[#This Row],[Novo_Avaliador]],Usuários!$A:$B,2,FALSE),"")="","",IFERROR(VLOOKUP(Tabela1[[#This Row],[Novo_Avaliador]],Usuários!$A:$B,2,FALSE),""))</f>
        <v>welton.martins@enind.com.br</v>
      </c>
      <c r="P342" t="str">
        <f>IF(Tabela1[[#This Row],[Novo_Avaliador]]=Tabela1[[#This Row],[Avaliador]],"Sim","Não")</f>
        <v>Sim</v>
      </c>
      <c r="Q342" t="b">
        <f>Tabela1[[#This Row],[email_repres]]=Tabela1[[#This Row],[e-mail novo avaliador]]</f>
        <v>1</v>
      </c>
    </row>
    <row r="343" spans="1:17" x14ac:dyDescent="0.25">
      <c r="A343" t="s">
        <v>328</v>
      </c>
      <c r="B343" t="s">
        <v>15</v>
      </c>
      <c r="C343" t="s">
        <v>287</v>
      </c>
      <c r="D343" t="s">
        <v>303</v>
      </c>
      <c r="E343" s="2" t="str">
        <f>VLOOKUP(Tabela1[[#This Row],[Avaliador]],Usuários!A:I,COLUMN($H$1),0)</f>
        <v>welton.martins</v>
      </c>
      <c r="F343" s="2" t="str">
        <f>VLOOKUP(Tabela1[[#This Row],[Avaliador]],Usuários!$A:$I,COLUMN($I$1),0)</f>
        <v>965wm!@</v>
      </c>
      <c r="G343" s="2" t="str">
        <f>VLOOKUP(Tabela1[[#This Row],[Participante]],Usuários!$A:$I,COLUMN($H$1),0)</f>
        <v>jorge.mota</v>
      </c>
      <c r="H343" s="2" t="str">
        <f>VLOOKUP(Tabela1[[#This Row],[Participante]],Usuários!$A:$I,COLUMN($I$1),0)</f>
        <v>602jm!@</v>
      </c>
      <c r="I343" s="1" t="s">
        <v>16</v>
      </c>
      <c r="J343" s="1" t="s">
        <v>16</v>
      </c>
      <c r="K343" t="s">
        <v>287</v>
      </c>
      <c r="L343" t="s">
        <v>307</v>
      </c>
      <c r="M343" t="str">
        <f>IF(Tabela1[[#This Row],[Tipo_aval]]="auto","Ok",IF(ISERROR(VLOOKUP(Tabela1[[#This Row],[Participante]],Atualização!$B:$B,1,FALSE)),"Ok","Atualizar"))</f>
        <v>Ok</v>
      </c>
      <c r="N34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3" t="str">
        <f>IF(IFERROR(VLOOKUP(Tabela1[[#This Row],[Novo_Avaliador]],Usuários!$A:$B,2,FALSE),"")="","",IFERROR(VLOOKUP(Tabela1[[#This Row],[Novo_Avaliador]],Usuários!$A:$B,2,FALSE),""))</f>
        <v>welton.martins@enind.com.br</v>
      </c>
      <c r="P343" t="str">
        <f>IF(Tabela1[[#This Row],[Novo_Avaliador]]=Tabela1[[#This Row],[Avaliador]],"Sim","Não")</f>
        <v>Sim</v>
      </c>
      <c r="Q343" t="b">
        <f>Tabela1[[#This Row],[email_repres]]=Tabela1[[#This Row],[e-mail novo avaliador]]</f>
        <v>1</v>
      </c>
    </row>
    <row r="344" spans="1:17" x14ac:dyDescent="0.25">
      <c r="A344" s="2" t="s">
        <v>37</v>
      </c>
      <c r="B344" s="2" t="s">
        <v>15</v>
      </c>
      <c r="C344" s="2" t="s">
        <v>287</v>
      </c>
      <c r="D344" s="2" t="s">
        <v>297</v>
      </c>
      <c r="E344" s="2" t="str">
        <f>VLOOKUP(Tabela1[[#This Row],[Avaliador]],Usuários!A:I,COLUMN($H$1),0)</f>
        <v>welton.martins</v>
      </c>
      <c r="F344" s="2" t="str">
        <f>VLOOKUP(Tabela1[[#This Row],[Avaliador]],Usuários!$A:$I,COLUMN($I$1),0)</f>
        <v>965wm!@</v>
      </c>
      <c r="G344" s="2" t="str">
        <f>VLOOKUP(Tabela1[[#This Row],[Participante]],Usuários!$A:$I,COLUMN($H$1),0)</f>
        <v>eliza.moreira</v>
      </c>
      <c r="H344" s="2" t="str">
        <f>VLOOKUP(Tabela1[[#This Row],[Participante]],Usuários!$A:$I,COLUMN($I$1),0)</f>
        <v>650em!@</v>
      </c>
      <c r="I344" s="1" t="s">
        <v>16</v>
      </c>
      <c r="J344" s="1" t="s">
        <v>16</v>
      </c>
      <c r="K344" t="str">
        <f>Tabela1[[#This Row],[Email]]</f>
        <v>welton.martins@enind.com.br</v>
      </c>
      <c r="L344" t="s">
        <v>309</v>
      </c>
      <c r="M344" t="str">
        <f>IF(Tabela1[[#This Row],[Tipo_aval]]="auto","Ok",IF(ISERROR(VLOOKUP(Tabela1[[#This Row],[Participante]],Atualização!$B:$B,1,FALSE)),"Ok","Atualizar"))</f>
        <v>Atualizar</v>
      </c>
      <c r="N34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4" t="str">
        <f>IF(IFERROR(VLOOKUP(Tabela1[[#This Row],[Novo_Avaliador]],Usuários!$A:$B,2,FALSE),"")="","",IFERROR(VLOOKUP(Tabela1[[#This Row],[Novo_Avaliador]],Usuários!$A:$B,2,FALSE),""))</f>
        <v>welton.martins@enind.com.br</v>
      </c>
      <c r="P344" t="str">
        <f>IF(Tabela1[[#This Row],[Novo_Avaliador]]=Tabela1[[#This Row],[Avaliador]],"Sim","Não")</f>
        <v>Sim</v>
      </c>
      <c r="Q344" t="b">
        <f>Tabela1[[#This Row],[email_repres]]=Tabela1[[#This Row],[e-mail novo avaliador]]</f>
        <v>1</v>
      </c>
    </row>
    <row r="345" spans="1:17" x14ac:dyDescent="0.25">
      <c r="A345" t="s">
        <v>123</v>
      </c>
      <c r="B345" t="s">
        <v>15</v>
      </c>
      <c r="C345" t="s">
        <v>287</v>
      </c>
      <c r="D345" t="s">
        <v>303</v>
      </c>
      <c r="E345" s="2" t="str">
        <f>VLOOKUP(Tabela1[[#This Row],[Avaliador]],Usuários!A:I,COLUMN($H$1),0)</f>
        <v>welton.martins</v>
      </c>
      <c r="F345" s="2" t="str">
        <f>VLOOKUP(Tabela1[[#This Row],[Avaliador]],Usuários!$A:$I,COLUMN($I$1),0)</f>
        <v>965wm!@</v>
      </c>
      <c r="G345" s="2" t="str">
        <f>VLOOKUP(Tabela1[[#This Row],[Participante]],Usuários!$A:$I,COLUMN($H$1),0)</f>
        <v>lucas.almeida</v>
      </c>
      <c r="H345" s="2" t="str">
        <f>VLOOKUP(Tabela1[[#This Row],[Participante]],Usuários!$A:$I,COLUMN($I$1),0)</f>
        <v>339la!@</v>
      </c>
      <c r="I345" s="1" t="s">
        <v>16</v>
      </c>
      <c r="J345" s="1" t="s">
        <v>16</v>
      </c>
      <c r="K345" t="str">
        <f>Tabela1[[#This Row],[Email]]</f>
        <v>welton.martins@enind.com.br</v>
      </c>
      <c r="L345" t="s">
        <v>309</v>
      </c>
      <c r="M345" t="str">
        <f>IF(Tabela1[[#This Row],[Tipo_aval]]="auto","Ok",IF(ISERROR(VLOOKUP(Tabela1[[#This Row],[Participante]],Atualização!$B:$B,1,FALSE)),"Ok","Atualizar"))</f>
        <v>Atualizar</v>
      </c>
      <c r="N34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5" t="str">
        <f>IF(IFERROR(VLOOKUP(Tabela1[[#This Row],[Novo_Avaliador]],Usuários!$A:$B,2,FALSE),"")="","",IFERROR(VLOOKUP(Tabela1[[#This Row],[Novo_Avaliador]],Usuários!$A:$B,2,FALSE),""))</f>
        <v>welton.martins@enind.com.br</v>
      </c>
      <c r="P345" t="str">
        <f>IF(Tabela1[[#This Row],[Novo_Avaliador]]=Tabela1[[#This Row],[Avaliador]],"Sim","Não")</f>
        <v>Sim</v>
      </c>
      <c r="Q345" t="b">
        <f>Tabela1[[#This Row],[email_repres]]=Tabela1[[#This Row],[e-mail novo avaliador]]</f>
        <v>1</v>
      </c>
    </row>
    <row r="346" spans="1:17" x14ac:dyDescent="0.25">
      <c r="A346" t="s">
        <v>225</v>
      </c>
      <c r="B346" t="s">
        <v>15</v>
      </c>
      <c r="C346" t="s">
        <v>287</v>
      </c>
      <c r="D346" t="s">
        <v>303</v>
      </c>
      <c r="E346" s="2" t="str">
        <f>VLOOKUP(Tabela1[[#This Row],[Avaliador]],Usuários!A:I,COLUMN($H$1),0)</f>
        <v>welton.martins</v>
      </c>
      <c r="F346" s="2" t="str">
        <f>VLOOKUP(Tabela1[[#This Row],[Avaliador]],Usuários!$A:$I,COLUMN($I$1),0)</f>
        <v>965wm!@</v>
      </c>
      <c r="G346" s="2" t="str">
        <f>VLOOKUP(Tabela1[[#This Row],[Participante]],Usuários!$A:$I,COLUMN($H$1),0)</f>
        <v>marcos.nunes</v>
      </c>
      <c r="H346" s="2" t="str">
        <f>VLOOKUP(Tabela1[[#This Row],[Participante]],Usuários!$A:$I,COLUMN($I$1),0)</f>
        <v>632mn!@</v>
      </c>
      <c r="I346" s="1" t="s">
        <v>16</v>
      </c>
      <c r="J346" s="1" t="s">
        <v>16</v>
      </c>
      <c r="K346" t="str">
        <f>Tabela1[[#This Row],[Email]]</f>
        <v>welton.martins@enind.com.br</v>
      </c>
      <c r="L346" t="s">
        <v>307</v>
      </c>
      <c r="M346" t="str">
        <f>IF(Tabela1[[#This Row],[Tipo_aval]]="auto","Ok",IF(ISERROR(VLOOKUP(Tabela1[[#This Row],[Participante]],Atualização!$B:$B,1,FALSE)),"Ok","Atualizar"))</f>
        <v>Atualizar</v>
      </c>
      <c r="N34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Welton Leandro Saldanha Martins</v>
      </c>
      <c r="O346" t="str">
        <f>IF(IFERROR(VLOOKUP(Tabela1[[#This Row],[Novo_Avaliador]],Usuários!$A:$B,2,FALSE),"")="","",IFERROR(VLOOKUP(Tabela1[[#This Row],[Novo_Avaliador]],Usuários!$A:$B,2,FALSE),""))</f>
        <v>welton.martins@enind.com.br</v>
      </c>
      <c r="P346" t="str">
        <f>IF(Tabela1[[#This Row],[Novo_Avaliador]]=Tabela1[[#This Row],[Avaliador]],"Sim","Não")</f>
        <v>Sim</v>
      </c>
      <c r="Q346" t="b">
        <f>Tabela1[[#This Row],[email_repres]]=Tabela1[[#This Row],[e-mail novo avaliador]]</f>
        <v>1</v>
      </c>
    </row>
    <row r="347" spans="1:17" x14ac:dyDescent="0.25">
      <c r="A347" s="2" t="s">
        <v>257</v>
      </c>
      <c r="B347" s="2" t="s">
        <v>257</v>
      </c>
      <c r="C347" s="2" t="s">
        <v>288</v>
      </c>
      <c r="D347" s="2" t="s">
        <v>295</v>
      </c>
      <c r="E347" s="2" t="str">
        <f>VLOOKUP(Tabela1[[#This Row],[Avaliador]],Usuários!A:I,COLUMN($H$1),0)</f>
        <v>weshiley.silva</v>
      </c>
      <c r="F347" s="2" t="str">
        <f>VLOOKUP(Tabela1[[#This Row],[Avaliador]],Usuários!$A:$I,COLUMN($I$1),0)</f>
        <v>799ws!@</v>
      </c>
      <c r="G347" s="2" t="str">
        <f>VLOOKUP(Tabela1[[#This Row],[Participante]],Usuários!$A:$I,COLUMN($H$1),0)</f>
        <v>weshiley.silva</v>
      </c>
      <c r="H347" s="2" t="str">
        <f>VLOOKUP(Tabela1[[#This Row],[Participante]],Usuários!$A:$I,COLUMN($I$1),0)</f>
        <v>799ws!@</v>
      </c>
      <c r="I347" s="1" t="s">
        <v>6</v>
      </c>
      <c r="J347" s="1" t="s">
        <v>16</v>
      </c>
      <c r="K347" t="s">
        <v>288</v>
      </c>
      <c r="L347" t="s">
        <v>309</v>
      </c>
      <c r="M347" t="str">
        <f>IF(Tabela1[[#This Row],[Tipo_aval]]="auto","Ok",IF(ISERROR(VLOOKUP(Tabela1[[#This Row],[Participante]],Atualização!$B:$B,1,FALSE)),"Ok","Atualizar"))</f>
        <v>Ok</v>
      </c>
      <c r="N34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Weshiley Andrade Miranda da Silva</v>
      </c>
      <c r="O347" t="str">
        <f>IF(IFERROR(VLOOKUP(Tabela1[[#This Row],[Novo_Avaliador]],Usuários!$A:$B,2,FALSE),"")="","",IFERROR(VLOOKUP(Tabela1[[#This Row],[Novo_Avaliador]],Usuários!$A:$B,2,FALSE),""))</f>
        <v>weshiley.a.silva@enind.com.br</v>
      </c>
      <c r="P347" t="str">
        <f>IF(Tabela1[[#This Row],[Novo_Avaliador]]=Tabela1[[#This Row],[Avaliador]],"Sim","Não")</f>
        <v>Sim</v>
      </c>
      <c r="Q347" t="b">
        <f>Tabela1[[#This Row],[email_repres]]=Tabela1[[#This Row],[e-mail novo avaliador]]</f>
        <v>1</v>
      </c>
    </row>
    <row r="348" spans="1:17" x14ac:dyDescent="0.25">
      <c r="A348" s="2" t="s">
        <v>33</v>
      </c>
      <c r="B348" s="2" t="s">
        <v>257</v>
      </c>
      <c r="C348" s="2" t="s">
        <v>288</v>
      </c>
      <c r="D348" s="2" t="s">
        <v>297</v>
      </c>
      <c r="E348" s="2" t="str">
        <f>VLOOKUP(Tabela1[[#This Row],[Avaliador]],Usuários!A:I,COLUMN($H$1),0)</f>
        <v>weshiley.silva</v>
      </c>
      <c r="F348" s="2" t="str">
        <f>VLOOKUP(Tabela1[[#This Row],[Avaliador]],Usuários!$A:$I,COLUMN($I$1),0)</f>
        <v>799ws!@</v>
      </c>
      <c r="G348" s="2" t="str">
        <f>VLOOKUP(Tabela1[[#This Row],[Participante]],Usuários!$A:$I,COLUMN($H$1),0)</f>
        <v>anderson.domingues</v>
      </c>
      <c r="H348" s="2" t="str">
        <f>VLOOKUP(Tabela1[[#This Row],[Participante]],Usuários!$A:$I,COLUMN($I$1),0)</f>
        <v>010ad!@</v>
      </c>
      <c r="I348" s="1" t="s">
        <v>16</v>
      </c>
      <c r="J348" s="1" t="s">
        <v>16</v>
      </c>
      <c r="K348" t="s">
        <v>288</v>
      </c>
      <c r="L348" t="s">
        <v>307</v>
      </c>
      <c r="M348" t="str">
        <f>IF(Tabela1[[#This Row],[Tipo_aval]]="auto","Ok",IF(ISERROR(VLOOKUP(Tabela1[[#This Row],[Participante]],Atualização!$B:$B,1,FALSE)),"Ok","Atualizar"))</f>
        <v>Ok</v>
      </c>
      <c r="N34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Weshiley Andrade Miranda da Silva</v>
      </c>
      <c r="O348" t="str">
        <f>IF(IFERROR(VLOOKUP(Tabela1[[#This Row],[Novo_Avaliador]],Usuários!$A:$B,2,FALSE),"")="","",IFERROR(VLOOKUP(Tabela1[[#This Row],[Novo_Avaliador]],Usuários!$A:$B,2,FALSE),""))</f>
        <v>weshiley.a.silva@enind.com.br</v>
      </c>
      <c r="P348" t="str">
        <f>IF(Tabela1[[#This Row],[Novo_Avaliador]]=Tabela1[[#This Row],[Avaliador]],"Sim","Não")</f>
        <v>Sim</v>
      </c>
      <c r="Q348" t="b">
        <f>Tabela1[[#This Row],[email_repres]]=Tabela1[[#This Row],[e-mail novo avaliador]]</f>
        <v>1</v>
      </c>
    </row>
    <row r="349" spans="1:17" x14ac:dyDescent="0.25">
      <c r="A349" t="s">
        <v>25</v>
      </c>
      <c r="B349" t="s">
        <v>77</v>
      </c>
      <c r="C349" t="s">
        <v>289</v>
      </c>
      <c r="D349" t="s">
        <v>303</v>
      </c>
      <c r="E349" s="2" t="str">
        <f>VLOOKUP(Tabela1[[#This Row],[Avaliador]],Usuários!A:I,COLUMN($H$1),0)</f>
        <v>weslley.costa</v>
      </c>
      <c r="F349" s="2" t="str">
        <f>VLOOKUP(Tabela1[[#This Row],[Avaliador]],Usuários!$A:$I,COLUMN($I$1),0)</f>
        <v>370wc!@</v>
      </c>
      <c r="G349" s="2" t="str">
        <f>VLOOKUP(Tabela1[[#This Row],[Participante]],Usuários!$A:$I,COLUMN($H$1),0)</f>
        <v>deijanes.costa</v>
      </c>
      <c r="H349" s="2" t="str">
        <f>VLOOKUP(Tabela1[[#This Row],[Participante]],Usuários!$A:$I,COLUMN($I$1),0)</f>
        <v>530dc!@</v>
      </c>
      <c r="I349" s="1" t="s">
        <v>16</v>
      </c>
      <c r="J349" s="1" t="s">
        <v>16</v>
      </c>
      <c r="K349" t="str">
        <f>Tabela1[[#This Row],[Email]]</f>
        <v>weslley.costa@enind.com.br</v>
      </c>
      <c r="L349" t="s">
        <v>308</v>
      </c>
      <c r="M349" t="str">
        <f>IF(Tabela1[[#This Row],[Tipo_aval]]="auto","Ok",IF(ISERROR(VLOOKUP(Tabela1[[#This Row],[Participante]],Atualização!$B:$B,1,FALSE)),"Ok","Atualizar"))</f>
        <v>Atualizar</v>
      </c>
      <c r="N34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49" t="str">
        <f>IF(IFERROR(VLOOKUP(Tabela1[[#This Row],[Novo_Avaliador]],Usuários!$A:$B,2,FALSE),"")="","",IFERROR(VLOOKUP(Tabela1[[#This Row],[Novo_Avaliador]],Usuários!$A:$B,2,FALSE),""))</f>
        <v>weslley.costa@enind.com.br</v>
      </c>
      <c r="P349" t="str">
        <f>IF(Tabela1[[#This Row],[Novo_Avaliador]]=Tabela1[[#This Row],[Avaliador]],"Sim","Não")</f>
        <v>Sim</v>
      </c>
      <c r="Q349" t="b">
        <f>Tabela1[[#This Row],[email_repres]]=Tabela1[[#This Row],[e-mail novo avaliador]]</f>
        <v>1</v>
      </c>
    </row>
    <row r="350" spans="1:17" x14ac:dyDescent="0.25">
      <c r="A350" s="2" t="s">
        <v>123</v>
      </c>
      <c r="B350" s="2" t="s">
        <v>77</v>
      </c>
      <c r="C350" s="2" t="s">
        <v>289</v>
      </c>
      <c r="D350" s="2" t="s">
        <v>297</v>
      </c>
      <c r="E350" s="2" t="str">
        <f>VLOOKUP(Tabela1[[#This Row],[Avaliador]],Usuários!A:I,COLUMN($H$1),0)</f>
        <v>weslley.costa</v>
      </c>
      <c r="F350" s="2" t="str">
        <f>VLOOKUP(Tabela1[[#This Row],[Avaliador]],Usuários!$A:$I,COLUMN($I$1),0)</f>
        <v>370wc!@</v>
      </c>
      <c r="G350" s="2" t="str">
        <f>VLOOKUP(Tabela1[[#This Row],[Participante]],Usuários!$A:$I,COLUMN($H$1),0)</f>
        <v>lucas.almeida</v>
      </c>
      <c r="H350" s="2" t="str">
        <f>VLOOKUP(Tabela1[[#This Row],[Participante]],Usuários!$A:$I,COLUMN($I$1),0)</f>
        <v>339la!@</v>
      </c>
      <c r="I350" s="1" t="s">
        <v>16</v>
      </c>
      <c r="J350" s="1" t="s">
        <v>16</v>
      </c>
      <c r="K350" t="str">
        <f>Tabela1[[#This Row],[Email]]</f>
        <v>weslley.costa@enind.com.br</v>
      </c>
      <c r="L350" t="s">
        <v>309</v>
      </c>
      <c r="M350" t="str">
        <f>IF(Tabela1[[#This Row],[Tipo_aval]]="auto","Ok",IF(ISERROR(VLOOKUP(Tabela1[[#This Row],[Participante]],Atualização!$B:$B,1,FALSE)),"Ok","Atualizar"))</f>
        <v>Atualizar</v>
      </c>
      <c r="N35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0" t="str">
        <f>IF(IFERROR(VLOOKUP(Tabela1[[#This Row],[Novo_Avaliador]],Usuários!$A:$B,2,FALSE),"")="","",IFERROR(VLOOKUP(Tabela1[[#This Row],[Novo_Avaliador]],Usuários!$A:$B,2,FALSE),""))</f>
        <v>weslley.costa@enind.com.br</v>
      </c>
      <c r="P350" t="str">
        <f>IF(Tabela1[[#This Row],[Novo_Avaliador]]=Tabela1[[#This Row],[Avaliador]],"Sim","Não")</f>
        <v>Sim</v>
      </c>
      <c r="Q350" t="b">
        <f>Tabela1[[#This Row],[email_repres]]=Tabela1[[#This Row],[e-mail novo avaliador]]</f>
        <v>1</v>
      </c>
    </row>
    <row r="351" spans="1:17" x14ac:dyDescent="0.25">
      <c r="A351" t="s">
        <v>54</v>
      </c>
      <c r="B351" t="s">
        <v>77</v>
      </c>
      <c r="C351" t="s">
        <v>289</v>
      </c>
      <c r="D351" t="s">
        <v>303</v>
      </c>
      <c r="E351" s="2" t="str">
        <f>VLOOKUP(Tabela1[[#This Row],[Avaliador]],Usuários!A:I,COLUMN($H$1),0)</f>
        <v>weslley.costa</v>
      </c>
      <c r="F351" s="2" t="str">
        <f>VLOOKUP(Tabela1[[#This Row],[Avaliador]],Usuários!$A:$I,COLUMN($I$1),0)</f>
        <v>370wc!@</v>
      </c>
      <c r="G351" s="2" t="str">
        <f>VLOOKUP(Tabela1[[#This Row],[Participante]],Usuários!$A:$I,COLUMN($H$1),0)</f>
        <v>dayvis.coelho</v>
      </c>
      <c r="H351" s="2" t="str">
        <f>VLOOKUP(Tabela1[[#This Row],[Participante]],Usuários!$A:$I,COLUMN($I$1),0)</f>
        <v>248dc!@</v>
      </c>
      <c r="I351" s="1" t="s">
        <v>16</v>
      </c>
      <c r="J351" s="1" t="s">
        <v>16</v>
      </c>
      <c r="K351" t="str">
        <f>Tabela1[[#This Row],[Email]]</f>
        <v>weslley.costa@enind.com.br</v>
      </c>
      <c r="L351" t="s">
        <v>309</v>
      </c>
      <c r="M351" t="str">
        <f>IF(Tabela1[[#This Row],[Tipo_aval]]="auto","Ok",IF(ISERROR(VLOOKUP(Tabela1[[#This Row],[Participante]],Atualização!$B:$B,1,FALSE)),"Ok","Atualizar"))</f>
        <v>Atualizar</v>
      </c>
      <c r="N35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1" t="str">
        <f>IF(IFERROR(VLOOKUP(Tabela1[[#This Row],[Novo_Avaliador]],Usuários!$A:$B,2,FALSE),"")="","",IFERROR(VLOOKUP(Tabela1[[#This Row],[Novo_Avaliador]],Usuários!$A:$B,2,FALSE),""))</f>
        <v>weslley.costa@enind.com.br</v>
      </c>
      <c r="P351" t="str">
        <f>IF(Tabela1[[#This Row],[Novo_Avaliador]]=Tabela1[[#This Row],[Avaliador]],"Sim","Não")</f>
        <v>Sim</v>
      </c>
      <c r="Q351" t="b">
        <f>Tabela1[[#This Row],[email_repres]]=Tabela1[[#This Row],[e-mail novo avaliador]]</f>
        <v>1</v>
      </c>
    </row>
    <row r="352" spans="1:17" x14ac:dyDescent="0.25">
      <c r="A352" s="2" t="s">
        <v>77</v>
      </c>
      <c r="B352" s="2" t="s">
        <v>77</v>
      </c>
      <c r="C352" s="2" t="s">
        <v>289</v>
      </c>
      <c r="D352" s="2" t="s">
        <v>295</v>
      </c>
      <c r="E352" s="2" t="str">
        <f>VLOOKUP(Tabela1[[#This Row],[Avaliador]],Usuários!A:I,COLUMN($H$1),0)</f>
        <v>weslley.costa</v>
      </c>
      <c r="F352" s="2" t="str">
        <f>VLOOKUP(Tabela1[[#This Row],[Avaliador]],Usuários!$A:$I,COLUMN($I$1),0)</f>
        <v>370wc!@</v>
      </c>
      <c r="G352" s="2" t="str">
        <f>VLOOKUP(Tabela1[[#This Row],[Participante]],Usuários!$A:$I,COLUMN($H$1),0)</f>
        <v>weslley.costa</v>
      </c>
      <c r="H352" s="2" t="str">
        <f>VLOOKUP(Tabela1[[#This Row],[Participante]],Usuários!$A:$I,COLUMN($I$1),0)</f>
        <v>370wc!@</v>
      </c>
      <c r="I352" s="1" t="s">
        <v>6</v>
      </c>
      <c r="J352" s="1" t="s">
        <v>16</v>
      </c>
      <c r="K352" t="s">
        <v>289</v>
      </c>
      <c r="L352" t="s">
        <v>309</v>
      </c>
      <c r="M352" t="str">
        <f>IF(Tabela1[[#This Row],[Tipo_aval]]="auto","Ok",IF(ISERROR(VLOOKUP(Tabela1[[#This Row],[Participante]],Atualização!$B:$B,1,FALSE)),"Ok","Atualizar"))</f>
        <v>Ok</v>
      </c>
      <c r="N35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2" t="str">
        <f>IF(IFERROR(VLOOKUP(Tabela1[[#This Row],[Novo_Avaliador]],Usuários!$A:$B,2,FALSE),"")="","",IFERROR(VLOOKUP(Tabela1[[#This Row],[Novo_Avaliador]],Usuários!$A:$B,2,FALSE),""))</f>
        <v>weslley.costa@enind.com.br</v>
      </c>
      <c r="P352" t="str">
        <f>IF(Tabela1[[#This Row],[Novo_Avaliador]]=Tabela1[[#This Row],[Avaliador]],"Sim","Não")</f>
        <v>Sim</v>
      </c>
      <c r="Q352" t="b">
        <f>Tabela1[[#This Row],[email_repres]]=Tabela1[[#This Row],[e-mail novo avaliador]]</f>
        <v>1</v>
      </c>
    </row>
    <row r="353" spans="1:17" x14ac:dyDescent="0.25">
      <c r="A353" s="2" t="s">
        <v>59</v>
      </c>
      <c r="B353" s="2" t="s">
        <v>77</v>
      </c>
      <c r="C353" s="2" t="s">
        <v>289</v>
      </c>
      <c r="D353" s="2" t="s">
        <v>297</v>
      </c>
      <c r="E353" s="2" t="str">
        <f>VLOOKUP(Tabela1[[#This Row],[Avaliador]],Usuários!A:I,COLUMN($H$1),0)</f>
        <v>weslley.costa</v>
      </c>
      <c r="F353" s="2" t="str">
        <f>VLOOKUP(Tabela1[[#This Row],[Avaliador]],Usuários!$A:$I,COLUMN($I$1),0)</f>
        <v>370wc!@</v>
      </c>
      <c r="G353" s="2" t="str">
        <f>VLOOKUP(Tabela1[[#This Row],[Participante]],Usuários!$A:$I,COLUMN($H$1),0)</f>
        <v>dayvson.silva</v>
      </c>
      <c r="H353" s="2" t="str">
        <f>VLOOKUP(Tabela1[[#This Row],[Participante]],Usuários!$A:$I,COLUMN($I$1),0)</f>
        <v>517ds!@</v>
      </c>
      <c r="I353" s="1" t="s">
        <v>16</v>
      </c>
      <c r="J353" s="1" t="s">
        <v>16</v>
      </c>
      <c r="K353" t="s">
        <v>289</v>
      </c>
      <c r="L353" t="s">
        <v>309</v>
      </c>
      <c r="M353" t="str">
        <f>IF(Tabela1[[#This Row],[Tipo_aval]]="auto","Ok",IF(ISERROR(VLOOKUP(Tabela1[[#This Row],[Participante]],Atualização!$B:$B,1,FALSE)),"Ok","Atualizar"))</f>
        <v>Ok</v>
      </c>
      <c r="N35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3" t="str">
        <f>IF(IFERROR(VLOOKUP(Tabela1[[#This Row],[Novo_Avaliador]],Usuários!$A:$B,2,FALSE),"")="","",IFERROR(VLOOKUP(Tabela1[[#This Row],[Novo_Avaliador]],Usuários!$A:$B,2,FALSE),""))</f>
        <v>weslley.costa@enind.com.br</v>
      </c>
      <c r="P353" t="str">
        <f>IF(Tabela1[[#This Row],[Novo_Avaliador]]=Tabela1[[#This Row],[Avaliador]],"Sim","Não")</f>
        <v>Sim</v>
      </c>
      <c r="Q353" t="b">
        <f>Tabela1[[#This Row],[email_repres]]=Tabela1[[#This Row],[e-mail novo avaliador]]</f>
        <v>1</v>
      </c>
    </row>
    <row r="354" spans="1:17" x14ac:dyDescent="0.25">
      <c r="A354" s="2" t="s">
        <v>63</v>
      </c>
      <c r="B354" s="2" t="s">
        <v>77</v>
      </c>
      <c r="C354" s="2" t="s">
        <v>289</v>
      </c>
      <c r="D354" s="2" t="s">
        <v>303</v>
      </c>
      <c r="E354" s="2" t="str">
        <f>VLOOKUP(Tabela1[[#This Row],[Avaliador]],Usuários!A:I,COLUMN($H$1),0)</f>
        <v>weslley.costa</v>
      </c>
      <c r="F354" s="2" t="str">
        <f>VLOOKUP(Tabela1[[#This Row],[Avaliador]],Usuários!$A:$I,COLUMN($I$1),0)</f>
        <v>370wc!@</v>
      </c>
      <c r="G354" s="2" t="str">
        <f>VLOOKUP(Tabela1[[#This Row],[Participante]],Usuários!$A:$I,COLUMN($H$1),0)</f>
        <v>hillary.karen</v>
      </c>
      <c r="H354" s="2" t="str">
        <f>VLOOKUP(Tabela1[[#This Row],[Participante]],Usuários!$A:$I,COLUMN($I$1),0)</f>
        <v>841hk!@</v>
      </c>
      <c r="I354" s="1" t="s">
        <v>16</v>
      </c>
      <c r="J354" s="1" t="s">
        <v>16</v>
      </c>
      <c r="K354" t="s">
        <v>289</v>
      </c>
      <c r="L354" t="s">
        <v>309</v>
      </c>
      <c r="M354" t="str">
        <f>IF(Tabela1[[#This Row],[Tipo_aval]]="auto","Ok",IF(ISERROR(VLOOKUP(Tabela1[[#This Row],[Participante]],Atualização!$B:$B,1,FALSE)),"Ok","Atualizar"))</f>
        <v>Ok</v>
      </c>
      <c r="N35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4" t="str">
        <f>IF(IFERROR(VLOOKUP(Tabela1[[#This Row],[Novo_Avaliador]],Usuários!$A:$B,2,FALSE),"")="","",IFERROR(VLOOKUP(Tabela1[[#This Row],[Novo_Avaliador]],Usuários!$A:$B,2,FALSE),""))</f>
        <v>weslley.costa@enind.com.br</v>
      </c>
      <c r="P354" t="str">
        <f>IF(Tabela1[[#This Row],[Novo_Avaliador]]=Tabela1[[#This Row],[Avaliador]],"Sim","Não")</f>
        <v>Sim</v>
      </c>
      <c r="Q354" t="b">
        <f>Tabela1[[#This Row],[email_repres]]=Tabela1[[#This Row],[e-mail novo avaliador]]</f>
        <v>1</v>
      </c>
    </row>
    <row r="355" spans="1:17" x14ac:dyDescent="0.25">
      <c r="A355" s="2" t="s">
        <v>8</v>
      </c>
      <c r="B355" s="2" t="s">
        <v>77</v>
      </c>
      <c r="C355" s="2" t="s">
        <v>289</v>
      </c>
      <c r="D355" s="2" t="s">
        <v>303</v>
      </c>
      <c r="E355" s="2" t="str">
        <f>VLOOKUP(Tabela1[[#This Row],[Avaliador]],Usuários!A:I,COLUMN($H$1),0)</f>
        <v>weslley.costa</v>
      </c>
      <c r="F355" s="2" t="str">
        <f>VLOOKUP(Tabela1[[#This Row],[Avaliador]],Usuários!$A:$I,COLUMN($I$1),0)</f>
        <v>370wc!@</v>
      </c>
      <c r="G355" s="2" t="str">
        <f>VLOOKUP(Tabela1[[#This Row],[Participante]],Usuários!$A:$I,COLUMN($H$1),0)</f>
        <v>hilton.torres</v>
      </c>
      <c r="H355" s="2" t="str">
        <f>VLOOKUP(Tabela1[[#This Row],[Participante]],Usuários!$A:$I,COLUMN($I$1),0)</f>
        <v>867ht!@</v>
      </c>
      <c r="I355" s="1" t="s">
        <v>16</v>
      </c>
      <c r="J355" s="1" t="s">
        <v>16</v>
      </c>
      <c r="K355" t="s">
        <v>289</v>
      </c>
      <c r="L355" t="s">
        <v>309</v>
      </c>
      <c r="M355" t="str">
        <f>IF(Tabela1[[#This Row],[Tipo_aval]]="auto","Ok",IF(ISERROR(VLOOKUP(Tabela1[[#This Row],[Participante]],Atualização!$B:$B,1,FALSE)),"Ok","Atualizar"))</f>
        <v>Ok</v>
      </c>
      <c r="N35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5" t="str">
        <f>IF(IFERROR(VLOOKUP(Tabela1[[#This Row],[Novo_Avaliador]],Usuários!$A:$B,2,FALSE),"")="","",IFERROR(VLOOKUP(Tabela1[[#This Row],[Novo_Avaliador]],Usuários!$A:$B,2,FALSE),""))</f>
        <v>weslley.costa@enind.com.br</v>
      </c>
      <c r="P355" t="str">
        <f>IF(Tabela1[[#This Row],[Novo_Avaliador]]=Tabela1[[#This Row],[Avaliador]],"Sim","Não")</f>
        <v>Sim</v>
      </c>
      <c r="Q355" t="b">
        <f>Tabela1[[#This Row],[email_repres]]=Tabela1[[#This Row],[e-mail novo avaliador]]</f>
        <v>1</v>
      </c>
    </row>
    <row r="356" spans="1:17" x14ac:dyDescent="0.25">
      <c r="A356" t="s">
        <v>47</v>
      </c>
      <c r="B356" t="s">
        <v>77</v>
      </c>
      <c r="C356" t="s">
        <v>289</v>
      </c>
      <c r="D356" t="s">
        <v>303</v>
      </c>
      <c r="E356" s="2" t="str">
        <f>VLOOKUP(Tabela1[[#This Row],[Avaliador]],Usuários!A:I,COLUMN($H$1),0)</f>
        <v>weslley.costa</v>
      </c>
      <c r="F356" s="2" t="str">
        <f>VLOOKUP(Tabela1[[#This Row],[Avaliador]],Usuários!$A:$I,COLUMN($I$1),0)</f>
        <v>370wc!@</v>
      </c>
      <c r="G356" s="2" t="str">
        <f>VLOOKUP(Tabela1[[#This Row],[Participante]],Usuários!$A:$I,COLUMN($H$1),0)</f>
        <v>jose.paulo</v>
      </c>
      <c r="H356" s="2" t="str">
        <f>VLOOKUP(Tabela1[[#This Row],[Participante]],Usuários!$A:$I,COLUMN($I$1),0)</f>
        <v>673jp!@</v>
      </c>
      <c r="I356" s="1" t="s">
        <v>16</v>
      </c>
      <c r="J356" s="1" t="s">
        <v>16</v>
      </c>
      <c r="K356" t="s">
        <v>289</v>
      </c>
      <c r="L356" t="s">
        <v>308</v>
      </c>
      <c r="M356" t="str">
        <f>IF(Tabela1[[#This Row],[Tipo_aval]]="auto","Ok",IF(ISERROR(VLOOKUP(Tabela1[[#This Row],[Participante]],Atualização!$B:$B,1,FALSE)),"Ok","Atualizar"))</f>
        <v>Ok</v>
      </c>
      <c r="N35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6" t="str">
        <f>IF(IFERROR(VLOOKUP(Tabela1[[#This Row],[Novo_Avaliador]],Usuários!$A:$B,2,FALSE),"")="","",IFERROR(VLOOKUP(Tabela1[[#This Row],[Novo_Avaliador]],Usuários!$A:$B,2,FALSE),""))</f>
        <v>weslley.costa@enind.com.br</v>
      </c>
      <c r="P356" t="str">
        <f>IF(Tabela1[[#This Row],[Novo_Avaliador]]=Tabela1[[#This Row],[Avaliador]],"Sim","Não")</f>
        <v>Sim</v>
      </c>
      <c r="Q356" t="b">
        <f>Tabela1[[#This Row],[email_repres]]=Tabela1[[#This Row],[e-mail novo avaliador]]</f>
        <v>1</v>
      </c>
    </row>
    <row r="357" spans="1:17" x14ac:dyDescent="0.25">
      <c r="A357" t="s">
        <v>227</v>
      </c>
      <c r="B357" t="s">
        <v>77</v>
      </c>
      <c r="C357" t="s">
        <v>289</v>
      </c>
      <c r="D357" t="s">
        <v>303</v>
      </c>
      <c r="E357" s="2" t="str">
        <f>VLOOKUP(Tabela1[[#This Row],[Avaliador]],Usuários!A:I,COLUMN($H$1),0)</f>
        <v>weslley.costa</v>
      </c>
      <c r="F357" s="2" t="str">
        <f>VLOOKUP(Tabela1[[#This Row],[Avaliador]],Usuários!$A:$I,COLUMN($I$1),0)</f>
        <v>370wc!@</v>
      </c>
      <c r="G357" s="2" t="str">
        <f>VLOOKUP(Tabela1[[#This Row],[Participante]],Usuários!$A:$I,COLUMN($H$1),0)</f>
        <v>lucio.farias</v>
      </c>
      <c r="H357" s="2" t="str">
        <f>VLOOKUP(Tabela1[[#This Row],[Participante]],Usuários!$A:$I,COLUMN($I$1),0)</f>
        <v>462lf!@</v>
      </c>
      <c r="I357" s="1" t="s">
        <v>16</v>
      </c>
      <c r="J357" s="1" t="s">
        <v>16</v>
      </c>
      <c r="K357" t="s">
        <v>289</v>
      </c>
      <c r="L357" t="s">
        <v>307</v>
      </c>
      <c r="M357" t="str">
        <f>IF(Tabela1[[#This Row],[Tipo_aval]]="auto","Ok",IF(ISERROR(VLOOKUP(Tabela1[[#This Row],[Participante]],Atualização!$B:$B,1,FALSE)),"Ok","Atualizar"))</f>
        <v>Ok</v>
      </c>
      <c r="N35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7" t="str">
        <f>IF(IFERROR(VLOOKUP(Tabela1[[#This Row],[Novo_Avaliador]],Usuários!$A:$B,2,FALSE),"")="","",IFERROR(VLOOKUP(Tabela1[[#This Row],[Novo_Avaliador]],Usuários!$A:$B,2,FALSE),""))</f>
        <v>weslley.costa@enind.com.br</v>
      </c>
      <c r="P357" t="str">
        <f>IF(Tabela1[[#This Row],[Novo_Avaliador]]=Tabela1[[#This Row],[Avaliador]],"Sim","Não")</f>
        <v>Sim</v>
      </c>
      <c r="Q357" t="b">
        <f>Tabela1[[#This Row],[email_repres]]=Tabela1[[#This Row],[e-mail novo avaliador]]</f>
        <v>1</v>
      </c>
    </row>
    <row r="358" spans="1:17" x14ac:dyDescent="0.25">
      <c r="A358" t="s">
        <v>230</v>
      </c>
      <c r="B358" t="s">
        <v>77</v>
      </c>
      <c r="C358" t="s">
        <v>289</v>
      </c>
      <c r="D358" t="s">
        <v>303</v>
      </c>
      <c r="E358" s="2" t="str">
        <f>VLOOKUP(Tabela1[[#This Row],[Avaliador]],Usuários!A:I,COLUMN($H$1),0)</f>
        <v>weslley.costa</v>
      </c>
      <c r="F358" s="2" t="str">
        <f>VLOOKUP(Tabela1[[#This Row],[Avaliador]],Usuários!$A:$I,COLUMN($I$1),0)</f>
        <v>370wc!@</v>
      </c>
      <c r="G358" s="2" t="str">
        <f>VLOOKUP(Tabela1[[#This Row],[Participante]],Usuários!$A:$I,COLUMN($H$1),0)</f>
        <v>marcelo.silva</v>
      </c>
      <c r="H358" s="2" t="str">
        <f>VLOOKUP(Tabela1[[#This Row],[Participante]],Usuários!$A:$I,COLUMN($I$1),0)</f>
        <v>584ms!@</v>
      </c>
      <c r="I358" s="1" t="s">
        <v>16</v>
      </c>
      <c r="J358" s="1" t="s">
        <v>16</v>
      </c>
      <c r="K358" t="s">
        <v>289</v>
      </c>
      <c r="L358" t="s">
        <v>309</v>
      </c>
      <c r="M358" t="str">
        <f>IF(Tabela1[[#This Row],[Tipo_aval]]="auto","Ok",IF(ISERROR(VLOOKUP(Tabela1[[#This Row],[Participante]],Atualização!$B:$B,1,FALSE)),"Ok","Atualizar"))</f>
        <v>Ok</v>
      </c>
      <c r="N35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8" t="str">
        <f>IF(IFERROR(VLOOKUP(Tabela1[[#This Row],[Novo_Avaliador]],Usuários!$A:$B,2,FALSE),"")="","",IFERROR(VLOOKUP(Tabela1[[#This Row],[Novo_Avaliador]],Usuários!$A:$B,2,FALSE),""))</f>
        <v>weslley.costa@enind.com.br</v>
      </c>
      <c r="P358" t="str">
        <f>IF(Tabela1[[#This Row],[Novo_Avaliador]]=Tabela1[[#This Row],[Avaliador]],"Sim","Não")</f>
        <v>Sim</v>
      </c>
      <c r="Q358" t="b">
        <f>Tabela1[[#This Row],[email_repres]]=Tabela1[[#This Row],[e-mail novo avaliador]]</f>
        <v>1</v>
      </c>
    </row>
    <row r="359" spans="1:17" x14ac:dyDescent="0.25">
      <c r="A359" t="s">
        <v>331</v>
      </c>
      <c r="B359" t="s">
        <v>77</v>
      </c>
      <c r="C359" t="s">
        <v>289</v>
      </c>
      <c r="D359" t="s">
        <v>297</v>
      </c>
      <c r="E359" s="2" t="str">
        <f>VLOOKUP(Tabela1[[#This Row],[Avaliador]],Usuários!A:I,COLUMN($H$1),0)</f>
        <v>weslley.costa</v>
      </c>
      <c r="F359" s="2" t="str">
        <f>VLOOKUP(Tabela1[[#This Row],[Avaliador]],Usuários!$A:$I,COLUMN($I$1),0)</f>
        <v>370wc!@</v>
      </c>
      <c r="G359" s="2" t="str">
        <f>VLOOKUP(Tabela1[[#This Row],[Participante]],Usuários!$A:$I,COLUMN($H$1),0)</f>
        <v>igor.aranda</v>
      </c>
      <c r="H359" s="2" t="str">
        <f>VLOOKUP(Tabela1[[#This Row],[Participante]],Usuários!$A:$I,COLUMN($I$1),0)</f>
        <v>554ia!@</v>
      </c>
      <c r="I359" s="1" t="s">
        <v>16</v>
      </c>
      <c r="J359" s="1" t="s">
        <v>16</v>
      </c>
      <c r="K359" t="s">
        <v>289</v>
      </c>
      <c r="L359" t="s">
        <v>307</v>
      </c>
      <c r="M359" t="str">
        <f>IF(Tabela1[[#This Row],[Tipo_aval]]="auto","Ok",IF(ISERROR(VLOOKUP(Tabela1[[#This Row],[Participante]],Atualização!$B:$B,1,FALSE)),"Ok","Atualizar"))</f>
        <v>Ok</v>
      </c>
      <c r="N35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59" t="str">
        <f>IF(IFERROR(VLOOKUP(Tabela1[[#This Row],[Novo_Avaliador]],Usuários!$A:$B,2,FALSE),"")="","",IFERROR(VLOOKUP(Tabela1[[#This Row],[Novo_Avaliador]],Usuários!$A:$B,2,FALSE),""))</f>
        <v>weslley.costa@enind.com.br</v>
      </c>
      <c r="P359" t="str">
        <f>IF(Tabela1[[#This Row],[Novo_Avaliador]]=Tabela1[[#This Row],[Avaliador]],"Sim","Não")</f>
        <v>Sim</v>
      </c>
      <c r="Q359" t="b">
        <f>Tabela1[[#This Row],[email_repres]]=Tabela1[[#This Row],[e-mail novo avaliador]]</f>
        <v>1</v>
      </c>
    </row>
    <row r="360" spans="1:17" x14ac:dyDescent="0.25">
      <c r="A360" t="s">
        <v>333</v>
      </c>
      <c r="B360" t="s">
        <v>77</v>
      </c>
      <c r="C360" t="s">
        <v>289</v>
      </c>
      <c r="D360" t="s">
        <v>303</v>
      </c>
      <c r="E360" s="2" t="str">
        <f>VLOOKUP(Tabela1[[#This Row],[Avaliador]],Usuários!A:I,COLUMN($H$1),0)</f>
        <v>weslley.costa</v>
      </c>
      <c r="F360" s="2" t="str">
        <f>VLOOKUP(Tabela1[[#This Row],[Avaliador]],Usuários!$A:$I,COLUMN($I$1),0)</f>
        <v>370wc!@</v>
      </c>
      <c r="G360" s="2" t="str">
        <f>VLOOKUP(Tabela1[[#This Row],[Participante]],Usuários!$A:$I,COLUMN($H$1),0)</f>
        <v>joao.rodrigues</v>
      </c>
      <c r="H360" s="2" t="str">
        <f>VLOOKUP(Tabela1[[#This Row],[Participante]],Usuários!$A:$I,COLUMN($I$1),0)</f>
        <v>680jr!@</v>
      </c>
      <c r="I360" s="1" t="s">
        <v>16</v>
      </c>
      <c r="J360" s="1" t="s">
        <v>16</v>
      </c>
      <c r="K360" t="s">
        <v>289</v>
      </c>
      <c r="L360" t="s">
        <v>307</v>
      </c>
      <c r="M360" t="str">
        <f>IF(Tabela1[[#This Row],[Tipo_aval]]="auto","Ok",IF(ISERROR(VLOOKUP(Tabela1[[#This Row],[Participante]],Atualização!$B:$B,1,FALSE)),"Ok","Atualizar"))</f>
        <v>Ok</v>
      </c>
      <c r="N36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60" t="str">
        <f>IF(IFERROR(VLOOKUP(Tabela1[[#This Row],[Novo_Avaliador]],Usuários!$A:$B,2,FALSE),"")="","",IFERROR(VLOOKUP(Tabela1[[#This Row],[Novo_Avaliador]],Usuários!$A:$B,2,FALSE),""))</f>
        <v>weslley.costa@enind.com.br</v>
      </c>
      <c r="P360" t="str">
        <f>IF(Tabela1[[#This Row],[Novo_Avaliador]]=Tabela1[[#This Row],[Avaliador]],"Sim","Não")</f>
        <v>Sim</v>
      </c>
      <c r="Q360" t="b">
        <f>Tabela1[[#This Row],[email_repres]]=Tabela1[[#This Row],[e-mail novo avaliador]]</f>
        <v>1</v>
      </c>
    </row>
    <row r="361" spans="1:17" x14ac:dyDescent="0.25">
      <c r="A361" t="s">
        <v>334</v>
      </c>
      <c r="B361" t="s">
        <v>77</v>
      </c>
      <c r="C361" t="s">
        <v>289</v>
      </c>
      <c r="D361" t="s">
        <v>303</v>
      </c>
      <c r="E361" s="2" t="str">
        <f>VLOOKUP(Tabela1[[#This Row],[Avaliador]],Usuários!A:I,COLUMN($H$1),0)</f>
        <v>weslley.costa</v>
      </c>
      <c r="F361" s="2" t="str">
        <f>VLOOKUP(Tabela1[[#This Row],[Avaliador]],Usuários!$A:$I,COLUMN($I$1),0)</f>
        <v>370wc!@</v>
      </c>
      <c r="G361" s="2" t="str">
        <f>VLOOKUP(Tabela1[[#This Row],[Participante]],Usuários!$A:$I,COLUMN($H$1),0)</f>
        <v>luciene.rocha</v>
      </c>
      <c r="H361" s="2" t="str">
        <f>VLOOKUP(Tabela1[[#This Row],[Participante]],Usuários!$A:$I,COLUMN($I$1),0)</f>
        <v>894lr!@</v>
      </c>
      <c r="I361" s="1" t="s">
        <v>16</v>
      </c>
      <c r="J361" s="1" t="s">
        <v>16</v>
      </c>
      <c r="K361" t="s">
        <v>289</v>
      </c>
      <c r="L361" t="s">
        <v>307</v>
      </c>
      <c r="M361" t="str">
        <f>IF(Tabela1[[#This Row],[Tipo_aval]]="auto","Ok",IF(ISERROR(VLOOKUP(Tabela1[[#This Row],[Participante]],Atualização!$B:$B,1,FALSE)),"Ok","Atualizar"))</f>
        <v>Ok</v>
      </c>
      <c r="N36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Weslley Chaves da Costa</v>
      </c>
      <c r="O361" t="str">
        <f>IF(IFERROR(VLOOKUP(Tabela1[[#This Row],[Novo_Avaliador]],Usuários!$A:$B,2,FALSE),"")="","",IFERROR(VLOOKUP(Tabela1[[#This Row],[Novo_Avaliador]],Usuários!$A:$B,2,FALSE),""))</f>
        <v>weslley.costa@enind.com.br</v>
      </c>
      <c r="P361" t="str">
        <f>IF(Tabela1[[#This Row],[Novo_Avaliador]]=Tabela1[[#This Row],[Avaliador]],"Sim","Não")</f>
        <v>Sim</v>
      </c>
      <c r="Q361" t="b">
        <f>Tabela1[[#This Row],[email_repres]]=Tabela1[[#This Row],[e-mail novo avaliador]]</f>
        <v>1</v>
      </c>
    </row>
    <row r="362" spans="1:17" x14ac:dyDescent="0.25">
      <c r="A362" s="2" t="s">
        <v>37</v>
      </c>
      <c r="B362" s="2" t="s">
        <v>71</v>
      </c>
      <c r="C362" s="2" t="s">
        <v>290</v>
      </c>
      <c r="D362" s="2" t="s">
        <v>303</v>
      </c>
      <c r="E362" s="2" t="str">
        <f>VLOOKUP(Tabela1[[#This Row],[Avaliador]],Usuários!A:I,COLUMN($H$1),0)</f>
        <v>wilson.fernandes</v>
      </c>
      <c r="F362" s="2" t="str">
        <f>VLOOKUP(Tabela1[[#This Row],[Avaliador]],Usuários!$A:$I,COLUMN($I$1),0)</f>
        <v>571wf!@</v>
      </c>
      <c r="G362" s="2" t="str">
        <f>VLOOKUP(Tabela1[[#This Row],[Participante]],Usuários!$A:$I,COLUMN($H$1),0)</f>
        <v>eliza.moreira</v>
      </c>
      <c r="H362" s="2" t="str">
        <f>VLOOKUP(Tabela1[[#This Row],[Participante]],Usuários!$A:$I,COLUMN($I$1),0)</f>
        <v>650em!@</v>
      </c>
      <c r="I362" s="1" t="s">
        <v>16</v>
      </c>
      <c r="J362" s="1" t="s">
        <v>16</v>
      </c>
      <c r="K362" t="str">
        <f>Tabela1[[#This Row],[Email]]</f>
        <v>wilson.fernandes@enind.com.br</v>
      </c>
      <c r="L362" t="s">
        <v>309</v>
      </c>
      <c r="M362" t="str">
        <f>IF(Tabela1[[#This Row],[Tipo_aval]]="auto","Ok",IF(ISERROR(VLOOKUP(Tabela1[[#This Row],[Participante]],Atualização!$B:$B,1,FALSE)),"Ok","Atualizar"))</f>
        <v>Atualizar</v>
      </c>
      <c r="N36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2" t="str">
        <f>IF(IFERROR(VLOOKUP(Tabela1[[#This Row],[Novo_Avaliador]],Usuários!$A:$B,2,FALSE),"")="","",IFERROR(VLOOKUP(Tabela1[[#This Row],[Novo_Avaliador]],Usuários!$A:$B,2,FALSE),""))</f>
        <v>wilson.fernandes@enind.com.br</v>
      </c>
      <c r="P362" t="str">
        <f>IF(Tabela1[[#This Row],[Novo_Avaliador]]=Tabela1[[#This Row],[Avaliador]],"Sim","Não")</f>
        <v>Sim</v>
      </c>
      <c r="Q362" t="b">
        <f>Tabela1[[#This Row],[email_repres]]=Tabela1[[#This Row],[e-mail novo avaliador]]</f>
        <v>1</v>
      </c>
    </row>
    <row r="363" spans="1:17" x14ac:dyDescent="0.25">
      <c r="A363" t="s">
        <v>234</v>
      </c>
      <c r="B363" t="s">
        <v>71</v>
      </c>
      <c r="C363" t="s">
        <v>290</v>
      </c>
      <c r="D363" t="s">
        <v>303</v>
      </c>
      <c r="E363" s="2" t="str">
        <f>VLOOKUP(Tabela1[[#This Row],[Avaliador]],Usuários!A:I,COLUMN($H$1),0)</f>
        <v>wilson.fernandes</v>
      </c>
      <c r="F363" s="2" t="str">
        <f>VLOOKUP(Tabela1[[#This Row],[Avaliador]],Usuários!$A:$I,COLUMN($I$1),0)</f>
        <v>571wf!@</v>
      </c>
      <c r="G363" s="2" t="str">
        <f>VLOOKUP(Tabela1[[#This Row],[Participante]],Usuários!$A:$I,COLUMN($H$1),0)</f>
        <v>marcos.silva</v>
      </c>
      <c r="H363" s="2" t="str">
        <f>VLOOKUP(Tabela1[[#This Row],[Participante]],Usuários!$A:$I,COLUMN($I$1),0)</f>
        <v>647ms!@</v>
      </c>
      <c r="I363" s="1" t="s">
        <v>16</v>
      </c>
      <c r="J363" s="1" t="s">
        <v>16</v>
      </c>
      <c r="K363" t="str">
        <f>Tabela1[[#This Row],[Email]]</f>
        <v>wilson.fernandes@enind.com.br</v>
      </c>
      <c r="L363" t="s">
        <v>307</v>
      </c>
      <c r="M363" t="str">
        <f>IF(Tabela1[[#This Row],[Tipo_aval]]="auto","Ok",IF(ISERROR(VLOOKUP(Tabela1[[#This Row],[Participante]],Atualização!$B:$B,1,FALSE)),"Ok","Atualizar"))</f>
        <v>Atualizar</v>
      </c>
      <c r="N36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3" t="str">
        <f>IF(IFERROR(VLOOKUP(Tabela1[[#This Row],[Novo_Avaliador]],Usuários!$A:$B,2,FALSE),"")="","",IFERROR(VLOOKUP(Tabela1[[#This Row],[Novo_Avaliador]],Usuários!$A:$B,2,FALSE),""))</f>
        <v>wilson.fernandes@enind.com.br</v>
      </c>
      <c r="P363" t="str">
        <f>IF(Tabela1[[#This Row],[Novo_Avaliador]]=Tabela1[[#This Row],[Avaliador]],"Sim","Não")</f>
        <v>Sim</v>
      </c>
      <c r="Q363" t="b">
        <f>Tabela1[[#This Row],[email_repres]]=Tabela1[[#This Row],[e-mail novo avaliador]]</f>
        <v>1</v>
      </c>
    </row>
    <row r="364" spans="1:17" x14ac:dyDescent="0.25">
      <c r="A364" s="2" t="s">
        <v>73</v>
      </c>
      <c r="B364" s="2" t="s">
        <v>71</v>
      </c>
      <c r="C364" s="2" t="s">
        <v>290</v>
      </c>
      <c r="D364" s="2" t="s">
        <v>303</v>
      </c>
      <c r="E364" s="2" t="str">
        <f>VLOOKUP(Tabela1[[#This Row],[Avaliador]],Usuários!A:I,COLUMN($H$1),0)</f>
        <v>wilson.fernandes</v>
      </c>
      <c r="F364" s="2" t="str">
        <f>VLOOKUP(Tabela1[[#This Row],[Avaliador]],Usuários!$A:$I,COLUMN($I$1),0)</f>
        <v>571wf!@</v>
      </c>
      <c r="G364" s="2" t="str">
        <f>VLOOKUP(Tabela1[[#This Row],[Participante]],Usuários!$A:$I,COLUMN($H$1),0)</f>
        <v>diego.araujo</v>
      </c>
      <c r="H364" s="2" t="str">
        <f>VLOOKUP(Tabela1[[#This Row],[Participante]],Usuários!$A:$I,COLUMN($I$1),0)</f>
        <v>410da!@</v>
      </c>
      <c r="I364" s="1" t="s">
        <v>16</v>
      </c>
      <c r="J364" s="1" t="s">
        <v>16</v>
      </c>
      <c r="K364" t="str">
        <f>Tabela1[[#This Row],[Email]]</f>
        <v>wilson.fernandes@enind.com.br</v>
      </c>
      <c r="L364" t="s">
        <v>309</v>
      </c>
      <c r="M364" t="str">
        <f>IF(Tabela1[[#This Row],[Tipo_aval]]="auto","Ok",IF(ISERROR(VLOOKUP(Tabela1[[#This Row],[Participante]],Atualização!$B:$B,1,FALSE)),"Ok","Atualizar"))</f>
        <v>Atualizar</v>
      </c>
      <c r="N36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4" t="str">
        <f>IF(IFERROR(VLOOKUP(Tabela1[[#This Row],[Novo_Avaliador]],Usuários!$A:$B,2,FALSE),"")="","",IFERROR(VLOOKUP(Tabela1[[#This Row],[Novo_Avaliador]],Usuários!$A:$B,2,FALSE),""))</f>
        <v>wilson.fernandes@enind.com.br</v>
      </c>
      <c r="P364" t="str">
        <f>IF(Tabela1[[#This Row],[Novo_Avaliador]]=Tabela1[[#This Row],[Avaliador]],"Sim","Não")</f>
        <v>Sim</v>
      </c>
      <c r="Q364" t="b">
        <f>Tabela1[[#This Row],[email_repres]]=Tabela1[[#This Row],[e-mail novo avaliador]]</f>
        <v>1</v>
      </c>
    </row>
    <row r="365" spans="1:17" x14ac:dyDescent="0.25">
      <c r="A365" s="2" t="s">
        <v>14</v>
      </c>
      <c r="B365" s="2" t="s">
        <v>71</v>
      </c>
      <c r="C365" s="2" t="s">
        <v>290</v>
      </c>
      <c r="D365" s="2" t="s">
        <v>303</v>
      </c>
      <c r="E365" s="2" t="str">
        <f>VLOOKUP(Tabela1[[#This Row],[Avaliador]],Usuários!A:I,COLUMN($H$1),0)</f>
        <v>wilson.fernandes</v>
      </c>
      <c r="F365" s="2" t="str">
        <f>VLOOKUP(Tabela1[[#This Row],[Avaliador]],Usuários!$A:$I,COLUMN($I$1),0)</f>
        <v>571wf!@</v>
      </c>
      <c r="G365" s="2" t="str">
        <f>VLOOKUP(Tabela1[[#This Row],[Participante]],Usuários!$A:$I,COLUMN($H$1),0)</f>
        <v>ellian.nunes</v>
      </c>
      <c r="H365" s="2" t="str">
        <f>VLOOKUP(Tabela1[[#This Row],[Participante]],Usuários!$A:$I,COLUMN($I$1),0)</f>
        <v>574en!@</v>
      </c>
      <c r="I365" s="1" t="s">
        <v>16</v>
      </c>
      <c r="J365" s="1" t="s">
        <v>16</v>
      </c>
      <c r="K365" t="str">
        <f>Tabela1[[#This Row],[Email]]</f>
        <v>wilson.fernandes@enind.com.br</v>
      </c>
      <c r="L365" t="s">
        <v>309</v>
      </c>
      <c r="M365" t="str">
        <f>IF(Tabela1[[#This Row],[Tipo_aval]]="auto","Ok",IF(ISERROR(VLOOKUP(Tabela1[[#This Row],[Participante]],Atualização!$B:$B,1,FALSE)),"Ok","Atualizar"))</f>
        <v>Atualizar</v>
      </c>
      <c r="N36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5" t="str">
        <f>IF(IFERROR(VLOOKUP(Tabela1[[#This Row],[Novo_Avaliador]],Usuários!$A:$B,2,FALSE),"")="","",IFERROR(VLOOKUP(Tabela1[[#This Row],[Novo_Avaliador]],Usuários!$A:$B,2,FALSE),""))</f>
        <v>wilson.fernandes@enind.com.br</v>
      </c>
      <c r="P365" t="str">
        <f>IF(Tabela1[[#This Row],[Novo_Avaliador]]=Tabela1[[#This Row],[Avaliador]],"Sim","Não")</f>
        <v>Sim</v>
      </c>
      <c r="Q365" t="b">
        <f>Tabela1[[#This Row],[email_repres]]=Tabela1[[#This Row],[e-mail novo avaliador]]</f>
        <v>1</v>
      </c>
    </row>
    <row r="366" spans="1:17" x14ac:dyDescent="0.25">
      <c r="A366" s="2" t="s">
        <v>71</v>
      </c>
      <c r="B366" s="2" t="s">
        <v>71</v>
      </c>
      <c r="C366" s="2" t="s">
        <v>290</v>
      </c>
      <c r="D366" s="2" t="s">
        <v>295</v>
      </c>
      <c r="E366" s="2" t="str">
        <f>VLOOKUP(Tabela1[[#This Row],[Avaliador]],Usuários!A:I,COLUMN($H$1),0)</f>
        <v>wilson.fernandes</v>
      </c>
      <c r="F366" s="2" t="str">
        <f>VLOOKUP(Tabela1[[#This Row],[Avaliador]],Usuários!$A:$I,COLUMN($I$1),0)</f>
        <v>571wf!@</v>
      </c>
      <c r="G366" s="2" t="str">
        <f>VLOOKUP(Tabela1[[#This Row],[Participante]],Usuários!$A:$I,COLUMN($H$1),0)</f>
        <v>wilson.fernandes</v>
      </c>
      <c r="H366" s="2" t="str">
        <f>VLOOKUP(Tabela1[[#This Row],[Participante]],Usuários!$A:$I,COLUMN($I$1),0)</f>
        <v>571wf!@</v>
      </c>
      <c r="I366" s="1" t="s">
        <v>6</v>
      </c>
      <c r="J366" s="1" t="s">
        <v>16</v>
      </c>
      <c r="K366" s="7" t="s">
        <v>290</v>
      </c>
      <c r="L366" t="s">
        <v>309</v>
      </c>
      <c r="M366" t="str">
        <f>IF(Tabela1[[#This Row],[Tipo_aval]]="auto","Ok",IF(ISERROR(VLOOKUP(Tabela1[[#This Row],[Participante]],Atualização!$B:$B,1,FALSE)),"Ok","Atualizar"))</f>
        <v>Ok</v>
      </c>
      <c r="N36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6" t="str">
        <f>IF(IFERROR(VLOOKUP(Tabela1[[#This Row],[Novo_Avaliador]],Usuários!$A:$B,2,FALSE),"")="","",IFERROR(VLOOKUP(Tabela1[[#This Row],[Novo_Avaliador]],Usuários!$A:$B,2,FALSE),""))</f>
        <v>wilson.fernandes@enind.com.br</v>
      </c>
      <c r="P366" t="str">
        <f>IF(Tabela1[[#This Row],[Novo_Avaliador]]=Tabela1[[#This Row],[Avaliador]],"Sim","Não")</f>
        <v>Sim</v>
      </c>
      <c r="Q366" t="b">
        <f>Tabela1[[#This Row],[email_repres]]=Tabela1[[#This Row],[e-mail novo avaliador]]</f>
        <v>1</v>
      </c>
    </row>
    <row r="367" spans="1:17" x14ac:dyDescent="0.25">
      <c r="A367" t="s">
        <v>43</v>
      </c>
      <c r="B367" t="s">
        <v>71</v>
      </c>
      <c r="C367" s="2" t="s">
        <v>290</v>
      </c>
      <c r="D367" t="s">
        <v>297</v>
      </c>
      <c r="E367" s="2" t="str">
        <f>VLOOKUP(Tabela1[[#This Row],[Avaliador]],Usuários!A:I,COLUMN($H$1),0)</f>
        <v>wilson.fernandes</v>
      </c>
      <c r="F367" s="2" t="str">
        <f>VLOOKUP(Tabela1[[#This Row],[Avaliador]],Usuários!$A:$I,COLUMN($I$1),0)</f>
        <v>571wf!@</v>
      </c>
      <c r="G367" s="2" t="str">
        <f>VLOOKUP(Tabela1[[#This Row],[Participante]],Usuários!$A:$I,COLUMN($H$1),0)</f>
        <v>bruno.castro</v>
      </c>
      <c r="H367" s="2" t="str">
        <f>VLOOKUP(Tabela1[[#This Row],[Participante]],Usuários!$A:$I,COLUMN($I$1),0)</f>
        <v>669bc!@</v>
      </c>
      <c r="I367" s="1" t="s">
        <v>16</v>
      </c>
      <c r="J367" s="1" t="s">
        <v>16</v>
      </c>
      <c r="K367" t="s">
        <v>290</v>
      </c>
      <c r="L367" t="s">
        <v>309</v>
      </c>
      <c r="M367" t="str">
        <f>IF(Tabela1[[#This Row],[Tipo_aval]]="auto","Ok",IF(ISERROR(VLOOKUP(Tabela1[[#This Row],[Participante]],Atualização!$B:$B,1,FALSE)),"Ok","Atualizar"))</f>
        <v>Ok</v>
      </c>
      <c r="N36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7" t="str">
        <f>IF(IFERROR(VLOOKUP(Tabela1[[#This Row],[Novo_Avaliador]],Usuários!$A:$B,2,FALSE),"")="","",IFERROR(VLOOKUP(Tabela1[[#This Row],[Novo_Avaliador]],Usuários!$A:$B,2,FALSE),""))</f>
        <v>wilson.fernandes@enind.com.br</v>
      </c>
      <c r="P367" t="str">
        <f>IF(Tabela1[[#This Row],[Novo_Avaliador]]=Tabela1[[#This Row],[Avaliador]],"Sim","Não")</f>
        <v>Sim</v>
      </c>
      <c r="Q367" t="b">
        <f>Tabela1[[#This Row],[email_repres]]=Tabela1[[#This Row],[e-mail novo avaliador]]</f>
        <v>1</v>
      </c>
    </row>
    <row r="368" spans="1:17" x14ac:dyDescent="0.25">
      <c r="A368" s="2" t="s">
        <v>54</v>
      </c>
      <c r="B368" s="2" t="s">
        <v>71</v>
      </c>
      <c r="C368" s="2" t="s">
        <v>290</v>
      </c>
      <c r="D368" s="2" t="s">
        <v>297</v>
      </c>
      <c r="E368" s="2" t="str">
        <f>VLOOKUP(Tabela1[[#This Row],[Avaliador]],Usuários!A:I,COLUMN($H$1),0)</f>
        <v>wilson.fernandes</v>
      </c>
      <c r="F368" s="2" t="str">
        <f>VLOOKUP(Tabela1[[#This Row],[Avaliador]],Usuários!$A:$I,COLUMN($I$1),0)</f>
        <v>571wf!@</v>
      </c>
      <c r="G368" s="2" t="str">
        <f>VLOOKUP(Tabela1[[#This Row],[Participante]],Usuários!$A:$I,COLUMN($H$1),0)</f>
        <v>dayvis.coelho</v>
      </c>
      <c r="H368" s="2" t="str">
        <f>VLOOKUP(Tabela1[[#This Row],[Participante]],Usuários!$A:$I,COLUMN($I$1),0)</f>
        <v>248dc!@</v>
      </c>
      <c r="I368" s="1" t="s">
        <v>16</v>
      </c>
      <c r="J368" s="1" t="s">
        <v>16</v>
      </c>
      <c r="K368" t="str">
        <f>Tabela1[[#This Row],[Email]]</f>
        <v>wilson.fernandes@enind.com.br</v>
      </c>
      <c r="L368" t="s">
        <v>309</v>
      </c>
      <c r="M368" t="str">
        <f>IF(Tabela1[[#This Row],[Tipo_aval]]="auto","Ok",IF(ISERROR(VLOOKUP(Tabela1[[#This Row],[Participante]],Atualização!$B:$B,1,FALSE)),"Ok","Atualizar"))</f>
        <v>Atualizar</v>
      </c>
      <c r="N36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8" t="str">
        <f>IF(IFERROR(VLOOKUP(Tabela1[[#This Row],[Novo_Avaliador]],Usuários!$A:$B,2,FALSE),"")="","",IFERROR(VLOOKUP(Tabela1[[#This Row],[Novo_Avaliador]],Usuários!$A:$B,2,FALSE),""))</f>
        <v>wilson.fernandes@enind.com.br</v>
      </c>
      <c r="P368" t="str">
        <f>IF(Tabela1[[#This Row],[Novo_Avaliador]]=Tabela1[[#This Row],[Avaliador]],"Sim","Não")</f>
        <v>Sim</v>
      </c>
      <c r="Q368" t="b">
        <f>Tabela1[[#This Row],[email_repres]]=Tabela1[[#This Row],[e-mail novo avaliador]]</f>
        <v>1</v>
      </c>
    </row>
    <row r="369" spans="1:17" x14ac:dyDescent="0.25">
      <c r="A369" s="2" t="s">
        <v>8</v>
      </c>
      <c r="B369" s="2" t="s">
        <v>71</v>
      </c>
      <c r="C369" s="2" t="s">
        <v>290</v>
      </c>
      <c r="D369" s="3" t="s">
        <v>297</v>
      </c>
      <c r="E369" s="2" t="str">
        <f>VLOOKUP(Tabela1[[#This Row],[Avaliador]],Usuários!A:I,COLUMN($H$1),0)</f>
        <v>wilson.fernandes</v>
      </c>
      <c r="F369" s="2" t="str">
        <f>VLOOKUP(Tabela1[[#This Row],[Avaliador]],Usuários!$A:$I,COLUMN($I$1),0)</f>
        <v>571wf!@</v>
      </c>
      <c r="G369" s="2" t="str">
        <f>VLOOKUP(Tabela1[[#This Row],[Participante]],Usuários!$A:$I,COLUMN($H$1),0)</f>
        <v>hilton.torres</v>
      </c>
      <c r="H369" s="2" t="str">
        <f>VLOOKUP(Tabela1[[#This Row],[Participante]],Usuários!$A:$I,COLUMN($I$1),0)</f>
        <v>867ht!@</v>
      </c>
      <c r="I369" s="1" t="s">
        <v>16</v>
      </c>
      <c r="J369" s="1" t="s">
        <v>16</v>
      </c>
      <c r="K369" t="s">
        <v>290</v>
      </c>
      <c r="L369" t="s">
        <v>309</v>
      </c>
      <c r="M369" t="str">
        <f>IF(Tabela1[[#This Row],[Tipo_aval]]="auto","Ok",IF(ISERROR(VLOOKUP(Tabela1[[#This Row],[Participante]],Atualização!$B:$B,1,FALSE)),"Ok","Atualizar"))</f>
        <v>Ok</v>
      </c>
      <c r="N36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69" t="str">
        <f>IF(IFERROR(VLOOKUP(Tabela1[[#This Row],[Novo_Avaliador]],Usuários!$A:$B,2,FALSE),"")="","",IFERROR(VLOOKUP(Tabela1[[#This Row],[Novo_Avaliador]],Usuários!$A:$B,2,FALSE),""))</f>
        <v>wilson.fernandes@enind.com.br</v>
      </c>
      <c r="P369" t="str">
        <f>IF(Tabela1[[#This Row],[Novo_Avaliador]]=Tabela1[[#This Row],[Avaliador]],"Sim","Não")</f>
        <v>Sim</v>
      </c>
      <c r="Q369" t="b">
        <f>Tabela1[[#This Row],[email_repres]]=Tabela1[[#This Row],[e-mail novo avaliador]]</f>
        <v>1</v>
      </c>
    </row>
    <row r="370" spans="1:17" x14ac:dyDescent="0.25">
      <c r="A370" s="2" t="s">
        <v>23</v>
      </c>
      <c r="B370" s="2" t="s">
        <v>71</v>
      </c>
      <c r="C370" s="2" t="s">
        <v>290</v>
      </c>
      <c r="D370" s="2" t="s">
        <v>297</v>
      </c>
      <c r="E370" s="2" t="str">
        <f>VLOOKUP(Tabela1[[#This Row],[Avaliador]],Usuários!A:I,COLUMN($H$1),0)</f>
        <v>wilson.fernandes</v>
      </c>
      <c r="F370" s="2" t="str">
        <f>VLOOKUP(Tabela1[[#This Row],[Avaliador]],Usuários!$A:$I,COLUMN($I$1),0)</f>
        <v>571wf!@</v>
      </c>
      <c r="G370" s="2" t="str">
        <f>VLOOKUP(Tabela1[[#This Row],[Participante]],Usuários!$A:$I,COLUMN($H$1),0)</f>
        <v>jean.rocha</v>
      </c>
      <c r="H370" s="2" t="str">
        <f>VLOOKUP(Tabela1[[#This Row],[Participante]],Usuários!$A:$I,COLUMN($I$1),0)</f>
        <v>909jr!@</v>
      </c>
      <c r="I370" s="1" t="s">
        <v>16</v>
      </c>
      <c r="J370" s="1" t="s">
        <v>16</v>
      </c>
      <c r="K370" t="s">
        <v>290</v>
      </c>
      <c r="L370" t="s">
        <v>309</v>
      </c>
      <c r="M370" t="str">
        <f>IF(Tabela1[[#This Row],[Tipo_aval]]="auto","Ok",IF(ISERROR(VLOOKUP(Tabela1[[#This Row],[Participante]],Atualização!$B:$B,1,FALSE)),"Ok","Atualizar"))</f>
        <v>Ok</v>
      </c>
      <c r="N37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0" t="str">
        <f>IF(IFERROR(VLOOKUP(Tabela1[[#This Row],[Novo_Avaliador]],Usuários!$A:$B,2,FALSE),"")="","",IFERROR(VLOOKUP(Tabela1[[#This Row],[Novo_Avaliador]],Usuários!$A:$B,2,FALSE),""))</f>
        <v>wilson.fernandes@enind.com.br</v>
      </c>
      <c r="P370" t="str">
        <f>IF(Tabela1[[#This Row],[Novo_Avaliador]]=Tabela1[[#This Row],[Avaliador]],"Sim","Não")</f>
        <v>Sim</v>
      </c>
      <c r="Q370" t="b">
        <f>Tabela1[[#This Row],[email_repres]]=Tabela1[[#This Row],[e-mail novo avaliador]]</f>
        <v>1</v>
      </c>
    </row>
    <row r="371" spans="1:17" x14ac:dyDescent="0.25">
      <c r="A371" s="2" t="s">
        <v>227</v>
      </c>
      <c r="B371" s="2" t="s">
        <v>71</v>
      </c>
      <c r="C371" s="2" t="s">
        <v>290</v>
      </c>
      <c r="D371" s="2" t="s">
        <v>297</v>
      </c>
      <c r="E371" s="2" t="str">
        <f>VLOOKUP(Tabela1[[#This Row],[Avaliador]],Usuários!A:I,COLUMN($H$1),0)</f>
        <v>wilson.fernandes</v>
      </c>
      <c r="F371" s="2" t="str">
        <f>VLOOKUP(Tabela1[[#This Row],[Avaliador]],Usuários!$A:$I,COLUMN($I$1),0)</f>
        <v>571wf!@</v>
      </c>
      <c r="G371" s="2" t="str">
        <f>VLOOKUP(Tabela1[[#This Row],[Participante]],Usuários!$A:$I,COLUMN($H$1),0)</f>
        <v>lucio.farias</v>
      </c>
      <c r="H371" s="2" t="str">
        <f>VLOOKUP(Tabela1[[#This Row],[Participante]],Usuários!$A:$I,COLUMN($I$1),0)</f>
        <v>462lf!@</v>
      </c>
      <c r="I371" s="1" t="s">
        <v>16</v>
      </c>
      <c r="J371" s="1" t="s">
        <v>16</v>
      </c>
      <c r="K371" t="s">
        <v>290</v>
      </c>
      <c r="L371" t="s">
        <v>307</v>
      </c>
      <c r="M371" t="str">
        <f>IF(Tabela1[[#This Row],[Tipo_aval]]="auto","Ok",IF(ISERROR(VLOOKUP(Tabela1[[#This Row],[Participante]],Atualização!$B:$B,1,FALSE)),"Ok","Atualizar"))</f>
        <v>Ok</v>
      </c>
      <c r="N37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1" t="str">
        <f>IF(IFERROR(VLOOKUP(Tabela1[[#This Row],[Novo_Avaliador]],Usuários!$A:$B,2,FALSE),"")="","",IFERROR(VLOOKUP(Tabela1[[#This Row],[Novo_Avaliador]],Usuários!$A:$B,2,FALSE),""))</f>
        <v>wilson.fernandes@enind.com.br</v>
      </c>
      <c r="P371" t="str">
        <f>IF(Tabela1[[#This Row],[Novo_Avaliador]]=Tabela1[[#This Row],[Avaliador]],"Sim","Não")</f>
        <v>Sim</v>
      </c>
      <c r="Q371" t="b">
        <f>Tabela1[[#This Row],[email_repres]]=Tabela1[[#This Row],[e-mail novo avaliador]]</f>
        <v>1</v>
      </c>
    </row>
    <row r="372" spans="1:17" x14ac:dyDescent="0.25">
      <c r="A372" s="2" t="s">
        <v>230</v>
      </c>
      <c r="B372" s="2" t="s">
        <v>71</v>
      </c>
      <c r="C372" s="2" t="s">
        <v>290</v>
      </c>
      <c r="D372" s="2" t="s">
        <v>297</v>
      </c>
      <c r="E372" s="2" t="str">
        <f>VLOOKUP(Tabela1[[#This Row],[Avaliador]],Usuários!A:I,COLUMN($H$1),0)</f>
        <v>wilson.fernandes</v>
      </c>
      <c r="F372" s="2" t="str">
        <f>VLOOKUP(Tabela1[[#This Row],[Avaliador]],Usuários!$A:$I,COLUMN($I$1),0)</f>
        <v>571wf!@</v>
      </c>
      <c r="G372" s="2" t="str">
        <f>VLOOKUP(Tabela1[[#This Row],[Participante]],Usuários!$A:$I,COLUMN($H$1),0)</f>
        <v>marcelo.silva</v>
      </c>
      <c r="H372" s="2" t="str">
        <f>VLOOKUP(Tabela1[[#This Row],[Participante]],Usuários!$A:$I,COLUMN($I$1),0)</f>
        <v>584ms!@</v>
      </c>
      <c r="I372" s="1" t="s">
        <v>16</v>
      </c>
      <c r="J372" s="1" t="s">
        <v>16</v>
      </c>
      <c r="K372" t="s">
        <v>290</v>
      </c>
      <c r="L372" t="s">
        <v>309</v>
      </c>
      <c r="M372" t="str">
        <f>IF(Tabela1[[#This Row],[Tipo_aval]]="auto","Ok",IF(ISERROR(VLOOKUP(Tabela1[[#This Row],[Participante]],Atualização!$B:$B,1,FALSE)),"Ok","Atualizar"))</f>
        <v>Ok</v>
      </c>
      <c r="N37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2" t="str">
        <f>IF(IFERROR(VLOOKUP(Tabela1[[#This Row],[Novo_Avaliador]],Usuários!$A:$B,2,FALSE),"")="","",IFERROR(VLOOKUP(Tabela1[[#This Row],[Novo_Avaliador]],Usuários!$A:$B,2,FALSE),""))</f>
        <v>wilson.fernandes@enind.com.br</v>
      </c>
      <c r="P372" t="str">
        <f>IF(Tabela1[[#This Row],[Novo_Avaliador]]=Tabela1[[#This Row],[Avaliador]],"Sim","Não")</f>
        <v>Sim</v>
      </c>
      <c r="Q372" t="b">
        <f>Tabela1[[#This Row],[email_repres]]=Tabela1[[#This Row],[e-mail novo avaliador]]</f>
        <v>1</v>
      </c>
    </row>
    <row r="373" spans="1:17" x14ac:dyDescent="0.25">
      <c r="A373" s="2" t="s">
        <v>175</v>
      </c>
      <c r="B373" s="2" t="s">
        <v>71</v>
      </c>
      <c r="C373" s="2" t="s">
        <v>290</v>
      </c>
      <c r="D373" s="2" t="s">
        <v>303</v>
      </c>
      <c r="E373" s="2" t="str">
        <f>VLOOKUP(Tabela1[[#This Row],[Avaliador]],Usuários!A:I,COLUMN($H$1),0)</f>
        <v>wilson.fernandes</v>
      </c>
      <c r="F373" s="2" t="str">
        <f>VLOOKUP(Tabela1[[#This Row],[Avaliador]],Usuários!$A:$I,COLUMN($I$1),0)</f>
        <v>571wf!@</v>
      </c>
      <c r="G373" s="2" t="str">
        <f>VLOOKUP(Tabela1[[#This Row],[Participante]],Usuários!$A:$I,COLUMN($H$1),0)</f>
        <v>abel.cavalcanti</v>
      </c>
      <c r="H373" s="2" t="str">
        <f>VLOOKUP(Tabela1[[#This Row],[Participante]],Usuários!$A:$I,COLUMN($I$1),0)</f>
        <v>102ac!@</v>
      </c>
      <c r="I373" s="1" t="s">
        <v>16</v>
      </c>
      <c r="J373" s="1" t="s">
        <v>16</v>
      </c>
      <c r="K373" t="s">
        <v>290</v>
      </c>
      <c r="L373" t="s">
        <v>307</v>
      </c>
      <c r="M373" t="str">
        <f>IF(Tabela1[[#This Row],[Tipo_aval]]="auto","Ok",IF(ISERROR(VLOOKUP(Tabela1[[#This Row],[Participante]],Atualização!$B:$B,1,FALSE)),"Ok","Atualizar"))</f>
        <v>Ok</v>
      </c>
      <c r="N37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3" t="str">
        <f>IF(IFERROR(VLOOKUP(Tabela1[[#This Row],[Novo_Avaliador]],Usuários!$A:$B,2,FALSE),"")="","",IFERROR(VLOOKUP(Tabela1[[#This Row],[Novo_Avaliador]],Usuários!$A:$B,2,FALSE),""))</f>
        <v>wilson.fernandes@enind.com.br</v>
      </c>
      <c r="P373" t="str">
        <f>IF(Tabela1[[#This Row],[Novo_Avaliador]]=Tabela1[[#This Row],[Avaliador]],"Sim","Não")</f>
        <v>Sim</v>
      </c>
      <c r="Q373" t="b">
        <f>Tabela1[[#This Row],[email_repres]]=Tabela1[[#This Row],[e-mail novo avaliador]]</f>
        <v>1</v>
      </c>
    </row>
    <row r="374" spans="1:17" x14ac:dyDescent="0.25">
      <c r="A374" s="2" t="s">
        <v>7</v>
      </c>
      <c r="B374" s="2" t="s">
        <v>71</v>
      </c>
      <c r="C374" s="2" t="s">
        <v>290</v>
      </c>
      <c r="D374" s="2" t="s">
        <v>303</v>
      </c>
      <c r="E374" s="2" t="str">
        <f>VLOOKUP(Tabela1[[#This Row],[Avaliador]],Usuários!A:I,COLUMN($H$1),0)</f>
        <v>wilson.fernandes</v>
      </c>
      <c r="F374" s="2" t="str">
        <f>VLOOKUP(Tabela1[[#This Row],[Avaliador]],Usuários!$A:$I,COLUMN($I$1),0)</f>
        <v>571wf!@</v>
      </c>
      <c r="G374" s="2" t="str">
        <f>VLOOKUP(Tabela1[[#This Row],[Participante]],Usuários!$A:$I,COLUMN($H$1),0)</f>
        <v>antonio.povoas</v>
      </c>
      <c r="H374" s="2" t="str">
        <f>VLOOKUP(Tabela1[[#This Row],[Participante]],Usuários!$A:$I,COLUMN($I$1),0)</f>
        <v>893ap!@</v>
      </c>
      <c r="I374" s="1" t="s">
        <v>16</v>
      </c>
      <c r="J374" s="1" t="s">
        <v>16</v>
      </c>
      <c r="K374" t="s">
        <v>290</v>
      </c>
      <c r="L374" t="s">
        <v>307</v>
      </c>
      <c r="M374" t="str">
        <f>IF(Tabela1[[#This Row],[Tipo_aval]]="auto","Ok",IF(ISERROR(VLOOKUP(Tabela1[[#This Row],[Participante]],Atualização!$B:$B,1,FALSE)),"Ok","Atualizar"))</f>
        <v>Ok</v>
      </c>
      <c r="N37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4" t="str">
        <f>IF(IFERROR(VLOOKUP(Tabela1[[#This Row],[Novo_Avaliador]],Usuários!$A:$B,2,FALSE),"")="","",IFERROR(VLOOKUP(Tabela1[[#This Row],[Novo_Avaliador]],Usuários!$A:$B,2,FALSE),""))</f>
        <v>wilson.fernandes@enind.com.br</v>
      </c>
      <c r="P374" t="str">
        <f>IF(Tabela1[[#This Row],[Novo_Avaliador]]=Tabela1[[#This Row],[Avaliador]],"Sim","Não")</f>
        <v>Sim</v>
      </c>
      <c r="Q374" t="b">
        <f>Tabela1[[#This Row],[email_repres]]=Tabela1[[#This Row],[e-mail novo avaliador]]</f>
        <v>1</v>
      </c>
    </row>
    <row r="375" spans="1:17" x14ac:dyDescent="0.25">
      <c r="A375" t="s">
        <v>22</v>
      </c>
      <c r="B375" t="s">
        <v>71</v>
      </c>
      <c r="C375" t="s">
        <v>290</v>
      </c>
      <c r="D375" t="s">
        <v>303</v>
      </c>
      <c r="E375" s="2" t="str">
        <f>VLOOKUP(Tabela1[[#This Row],[Avaliador]],Usuários!A:I,COLUMN($H$1),0)</f>
        <v>wilson.fernandes</v>
      </c>
      <c r="F375" s="2" t="str">
        <f>VLOOKUP(Tabela1[[#This Row],[Avaliador]],Usuários!$A:$I,COLUMN($I$1),0)</f>
        <v>571wf!@</v>
      </c>
      <c r="G375" s="2" t="str">
        <f>VLOOKUP(Tabela1[[#This Row],[Participante]],Usuários!$A:$I,COLUMN($H$1),0)</f>
        <v>david.silva</v>
      </c>
      <c r="H375" s="2" t="str">
        <f>VLOOKUP(Tabela1[[#This Row],[Participante]],Usuários!$A:$I,COLUMN($I$1),0)</f>
        <v>652ds!@</v>
      </c>
      <c r="I375" s="1" t="s">
        <v>16</v>
      </c>
      <c r="J375" s="1" t="s">
        <v>16</v>
      </c>
      <c r="K375" t="s">
        <v>290</v>
      </c>
      <c r="L375" t="s">
        <v>307</v>
      </c>
      <c r="M375" t="str">
        <f>IF(Tabela1[[#This Row],[Tipo_aval]]="auto","Ok",IF(ISERROR(VLOOKUP(Tabela1[[#This Row],[Participante]],Atualização!$B:$B,1,FALSE)),"Ok","Atualizar"))</f>
        <v>Ok</v>
      </c>
      <c r="N37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5" t="str">
        <f>IF(IFERROR(VLOOKUP(Tabela1[[#This Row],[Novo_Avaliador]],Usuários!$A:$B,2,FALSE),"")="","",IFERROR(VLOOKUP(Tabela1[[#This Row],[Novo_Avaliador]],Usuários!$A:$B,2,FALSE),""))</f>
        <v>wilson.fernandes@enind.com.br</v>
      </c>
      <c r="P375" t="str">
        <f>IF(Tabela1[[#This Row],[Novo_Avaliador]]=Tabela1[[#This Row],[Avaliador]],"Sim","Não")</f>
        <v>Sim</v>
      </c>
      <c r="Q375" t="b">
        <f>Tabela1[[#This Row],[email_repres]]=Tabela1[[#This Row],[e-mail novo avaliador]]</f>
        <v>1</v>
      </c>
    </row>
    <row r="376" spans="1:17" x14ac:dyDescent="0.25">
      <c r="A376" t="s">
        <v>59</v>
      </c>
      <c r="B376" t="s">
        <v>71</v>
      </c>
      <c r="C376" t="s">
        <v>290</v>
      </c>
      <c r="D376" t="s">
        <v>303</v>
      </c>
      <c r="E376" s="2" t="str">
        <f>VLOOKUP(Tabela1[[#This Row],[Avaliador]],Usuários!A:I,COLUMN($H$1),0)</f>
        <v>wilson.fernandes</v>
      </c>
      <c r="F376" s="2" t="str">
        <f>VLOOKUP(Tabela1[[#This Row],[Avaliador]],Usuários!$A:$I,COLUMN($I$1),0)</f>
        <v>571wf!@</v>
      </c>
      <c r="G376" s="2" t="str">
        <f>VLOOKUP(Tabela1[[#This Row],[Participante]],Usuários!$A:$I,COLUMN($H$1),0)</f>
        <v>dayvson.silva</v>
      </c>
      <c r="H376" s="2" t="str">
        <f>VLOOKUP(Tabela1[[#This Row],[Participante]],Usuários!$A:$I,COLUMN($I$1),0)</f>
        <v>517ds!@</v>
      </c>
      <c r="I376" s="1" t="s">
        <v>16</v>
      </c>
      <c r="J376" s="1" t="s">
        <v>16</v>
      </c>
      <c r="K376" t="s">
        <v>290</v>
      </c>
      <c r="L376" t="s">
        <v>309</v>
      </c>
      <c r="M376" t="str">
        <f>IF(Tabela1[[#This Row],[Tipo_aval]]="auto","Ok",IF(ISERROR(VLOOKUP(Tabela1[[#This Row],[Participante]],Atualização!$B:$B,1,FALSE)),"Ok","Atualizar"))</f>
        <v>Ok</v>
      </c>
      <c r="N37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6" t="str">
        <f>IF(IFERROR(VLOOKUP(Tabela1[[#This Row],[Novo_Avaliador]],Usuários!$A:$B,2,FALSE),"")="","",IFERROR(VLOOKUP(Tabela1[[#This Row],[Novo_Avaliador]],Usuários!$A:$B,2,FALSE),""))</f>
        <v>wilson.fernandes@enind.com.br</v>
      </c>
      <c r="P376" t="str">
        <f>IF(Tabela1[[#This Row],[Novo_Avaliador]]=Tabela1[[#This Row],[Avaliador]],"Sim","Não")</f>
        <v>Sim</v>
      </c>
      <c r="Q376" t="b">
        <f>Tabela1[[#This Row],[email_repres]]=Tabela1[[#This Row],[e-mail novo avaliador]]</f>
        <v>1</v>
      </c>
    </row>
    <row r="377" spans="1:17" x14ac:dyDescent="0.25">
      <c r="A377" t="s">
        <v>30</v>
      </c>
      <c r="B377" t="s">
        <v>71</v>
      </c>
      <c r="C377" t="s">
        <v>290</v>
      </c>
      <c r="D377" t="s">
        <v>303</v>
      </c>
      <c r="E377" s="2" t="str">
        <f>VLOOKUP(Tabela1[[#This Row],[Avaliador]],Usuários!A:I,COLUMN($H$1),0)</f>
        <v>wilson.fernandes</v>
      </c>
      <c r="F377" s="2" t="str">
        <f>VLOOKUP(Tabela1[[#This Row],[Avaliador]],Usuários!$A:$I,COLUMN($I$1),0)</f>
        <v>571wf!@</v>
      </c>
      <c r="G377" s="2" t="str">
        <f>VLOOKUP(Tabela1[[#This Row],[Participante]],Usuários!$A:$I,COLUMN($H$1),0)</f>
        <v>devani.dantas</v>
      </c>
      <c r="H377" s="2" t="str">
        <f>VLOOKUP(Tabela1[[#This Row],[Participante]],Usuários!$A:$I,COLUMN($I$1),0)</f>
        <v>180dd!@</v>
      </c>
      <c r="I377" s="1" t="s">
        <v>16</v>
      </c>
      <c r="J377" s="1" t="s">
        <v>16</v>
      </c>
      <c r="K377" t="s">
        <v>290</v>
      </c>
      <c r="L377" t="s">
        <v>307</v>
      </c>
      <c r="M377" t="str">
        <f>IF(Tabela1[[#This Row],[Tipo_aval]]="auto","Ok",IF(ISERROR(VLOOKUP(Tabela1[[#This Row],[Participante]],Atualização!$B:$B,1,FALSE)),"Ok","Atualizar"))</f>
        <v>Ok</v>
      </c>
      <c r="N37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7" t="str">
        <f>IF(IFERROR(VLOOKUP(Tabela1[[#This Row],[Novo_Avaliador]],Usuários!$A:$B,2,FALSE),"")="","",IFERROR(VLOOKUP(Tabela1[[#This Row],[Novo_Avaliador]],Usuários!$A:$B,2,FALSE),""))</f>
        <v>wilson.fernandes@enind.com.br</v>
      </c>
      <c r="P377" t="str">
        <f>IF(Tabela1[[#This Row],[Novo_Avaliador]]=Tabela1[[#This Row],[Avaliador]],"Sim","Não")</f>
        <v>Sim</v>
      </c>
      <c r="Q377" t="b">
        <f>Tabela1[[#This Row],[email_repres]]=Tabela1[[#This Row],[e-mail novo avaliador]]</f>
        <v>1</v>
      </c>
    </row>
    <row r="378" spans="1:17" x14ac:dyDescent="0.25">
      <c r="A378" s="2" t="s">
        <v>79</v>
      </c>
      <c r="B378" s="2" t="s">
        <v>71</v>
      </c>
      <c r="C378" s="2" t="s">
        <v>290</v>
      </c>
      <c r="D378" s="2" t="s">
        <v>303</v>
      </c>
      <c r="E378" s="2" t="str">
        <f>VLOOKUP(Tabela1[[#This Row],[Avaliador]],Usuários!A:I,COLUMN($H$1),0)</f>
        <v>wilson.fernandes</v>
      </c>
      <c r="F378" s="2" t="str">
        <f>VLOOKUP(Tabela1[[#This Row],[Avaliador]],Usuários!$A:$I,COLUMN($I$1),0)</f>
        <v>571wf!@</v>
      </c>
      <c r="G378" s="2" t="str">
        <f>VLOOKUP(Tabela1[[#This Row],[Participante]],Usuários!$A:$I,COLUMN($H$1),0)</f>
        <v>diego.santos</v>
      </c>
      <c r="H378" s="2" t="str">
        <f>VLOOKUP(Tabela1[[#This Row],[Participante]],Usuários!$A:$I,COLUMN($I$1),0)</f>
        <v>334ds!@</v>
      </c>
      <c r="I378" s="1" t="s">
        <v>16</v>
      </c>
      <c r="J378" s="1" t="s">
        <v>16</v>
      </c>
      <c r="K378" t="s">
        <v>290</v>
      </c>
      <c r="L378" t="s">
        <v>309</v>
      </c>
      <c r="M378" t="str">
        <f>IF(Tabela1[[#This Row],[Tipo_aval]]="auto","Ok",IF(ISERROR(VLOOKUP(Tabela1[[#This Row],[Participante]],Atualização!$B:$B,1,FALSE)),"Ok","Atualizar"))</f>
        <v>Ok</v>
      </c>
      <c r="N37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8" t="str">
        <f>IF(IFERROR(VLOOKUP(Tabela1[[#This Row],[Novo_Avaliador]],Usuários!$A:$B,2,FALSE),"")="","",IFERROR(VLOOKUP(Tabela1[[#This Row],[Novo_Avaliador]],Usuários!$A:$B,2,FALSE),""))</f>
        <v>wilson.fernandes@enind.com.br</v>
      </c>
      <c r="P378" t="str">
        <f>IF(Tabela1[[#This Row],[Novo_Avaliador]]=Tabela1[[#This Row],[Avaliador]],"Sim","Não")</f>
        <v>Sim</v>
      </c>
      <c r="Q378" t="b">
        <f>Tabela1[[#This Row],[email_repres]]=Tabela1[[#This Row],[e-mail novo avaliador]]</f>
        <v>1</v>
      </c>
    </row>
    <row r="379" spans="1:17" x14ac:dyDescent="0.25">
      <c r="A379" t="s">
        <v>10</v>
      </c>
      <c r="B379" t="s">
        <v>71</v>
      </c>
      <c r="C379" t="s">
        <v>290</v>
      </c>
      <c r="D379" t="s">
        <v>303</v>
      </c>
      <c r="E379" s="2" t="str">
        <f>VLOOKUP(Tabela1[[#This Row],[Avaliador]],Usuários!A:I,COLUMN($H$1),0)</f>
        <v>wilson.fernandes</v>
      </c>
      <c r="F379" s="2" t="str">
        <f>VLOOKUP(Tabela1[[#This Row],[Avaliador]],Usuários!$A:$I,COLUMN($I$1),0)</f>
        <v>571wf!@</v>
      </c>
      <c r="G379" s="2" t="str">
        <f>VLOOKUP(Tabela1[[#This Row],[Participante]],Usuários!$A:$I,COLUMN($H$1),0)</f>
        <v>everaldo.silva</v>
      </c>
      <c r="H379" s="2" t="str">
        <f>VLOOKUP(Tabela1[[#This Row],[Participante]],Usuários!$A:$I,COLUMN($I$1),0)</f>
        <v>157es!@</v>
      </c>
      <c r="I379" s="1" t="s">
        <v>16</v>
      </c>
      <c r="J379" s="1" t="s">
        <v>16</v>
      </c>
      <c r="K379" t="s">
        <v>290</v>
      </c>
      <c r="L379" t="s">
        <v>309</v>
      </c>
      <c r="M379" t="str">
        <f>IF(Tabela1[[#This Row],[Tipo_aval]]="auto","Ok",IF(ISERROR(VLOOKUP(Tabela1[[#This Row],[Participante]],Atualização!$B:$B,1,FALSE)),"Ok","Atualizar"))</f>
        <v>Ok</v>
      </c>
      <c r="N37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79" t="str">
        <f>IF(IFERROR(VLOOKUP(Tabela1[[#This Row],[Novo_Avaliador]],Usuários!$A:$B,2,FALSE),"")="","",IFERROR(VLOOKUP(Tabela1[[#This Row],[Novo_Avaliador]],Usuários!$A:$B,2,FALSE),""))</f>
        <v>wilson.fernandes@enind.com.br</v>
      </c>
      <c r="P379" t="str">
        <f>IF(Tabela1[[#This Row],[Novo_Avaliador]]=Tabela1[[#This Row],[Avaliador]],"Sim","Não")</f>
        <v>Sim</v>
      </c>
      <c r="Q379" t="b">
        <f>Tabela1[[#This Row],[email_repres]]=Tabela1[[#This Row],[e-mail novo avaliador]]</f>
        <v>1</v>
      </c>
    </row>
    <row r="380" spans="1:17" x14ac:dyDescent="0.25">
      <c r="A380" s="2" t="s">
        <v>42</v>
      </c>
      <c r="B380" s="2" t="s">
        <v>71</v>
      </c>
      <c r="C380" s="2" t="s">
        <v>290</v>
      </c>
      <c r="D380" s="3" t="s">
        <v>303</v>
      </c>
      <c r="E380" s="2" t="str">
        <f>VLOOKUP(Tabela1[[#This Row],[Avaliador]],Usuários!A:I,COLUMN($H$1),0)</f>
        <v>wilson.fernandes</v>
      </c>
      <c r="F380" s="2" t="str">
        <f>VLOOKUP(Tabela1[[#This Row],[Avaliador]],Usuários!$A:$I,COLUMN($I$1),0)</f>
        <v>571wf!@</v>
      </c>
      <c r="G380" s="2" t="str">
        <f>VLOOKUP(Tabela1[[#This Row],[Participante]],Usuários!$A:$I,COLUMN($H$1),0)</f>
        <v>fabio.serejo</v>
      </c>
      <c r="H380" s="2" t="str">
        <f>VLOOKUP(Tabela1[[#This Row],[Participante]],Usuários!$A:$I,COLUMN($I$1),0)</f>
        <v>784fs!@</v>
      </c>
      <c r="I380" s="1" t="s">
        <v>16</v>
      </c>
      <c r="J380" s="1" t="s">
        <v>16</v>
      </c>
      <c r="K380" t="s">
        <v>290</v>
      </c>
      <c r="L380" t="s">
        <v>307</v>
      </c>
      <c r="M380" t="str">
        <f>IF(Tabela1[[#This Row],[Tipo_aval]]="auto","Ok",IF(ISERROR(VLOOKUP(Tabela1[[#This Row],[Participante]],Atualização!$B:$B,1,FALSE)),"Ok","Atualizar"))</f>
        <v>Ok</v>
      </c>
      <c r="N38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0" t="str">
        <f>IF(IFERROR(VLOOKUP(Tabela1[[#This Row],[Novo_Avaliador]],Usuários!$A:$B,2,FALSE),"")="","",IFERROR(VLOOKUP(Tabela1[[#This Row],[Novo_Avaliador]],Usuários!$A:$B,2,FALSE),""))</f>
        <v>wilson.fernandes@enind.com.br</v>
      </c>
      <c r="P380" t="str">
        <f>IF(Tabela1[[#This Row],[Novo_Avaliador]]=Tabela1[[#This Row],[Avaliador]],"Sim","Não")</f>
        <v>Sim</v>
      </c>
      <c r="Q380" t="b">
        <f>Tabela1[[#This Row],[email_repres]]=Tabela1[[#This Row],[e-mail novo avaliador]]</f>
        <v>1</v>
      </c>
    </row>
    <row r="381" spans="1:17" x14ac:dyDescent="0.25">
      <c r="A381" s="2" t="s">
        <v>97</v>
      </c>
      <c r="B381" s="2" t="s">
        <v>71</v>
      </c>
      <c r="C381" s="2" t="s">
        <v>290</v>
      </c>
      <c r="D381" s="2" t="s">
        <v>303</v>
      </c>
      <c r="E381" s="2" t="str">
        <f>VLOOKUP(Tabela1[[#This Row],[Avaliador]],Usuários!A:I,COLUMN($H$1),0)</f>
        <v>wilson.fernandes</v>
      </c>
      <c r="F381" s="2" t="str">
        <f>VLOOKUP(Tabela1[[#This Row],[Avaliador]],Usuários!$A:$I,COLUMN($I$1),0)</f>
        <v>571wf!@</v>
      </c>
      <c r="G381" s="2" t="str">
        <f>VLOOKUP(Tabela1[[#This Row],[Participante]],Usuários!$A:$I,COLUMN($H$1),0)</f>
        <v>james.custodio</v>
      </c>
      <c r="H381" s="2" t="str">
        <f>VLOOKUP(Tabela1[[#This Row],[Participante]],Usuários!$A:$I,COLUMN($I$1),0)</f>
        <v>519jc!@</v>
      </c>
      <c r="I381" s="1" t="s">
        <v>16</v>
      </c>
      <c r="J381" s="1" t="s">
        <v>16</v>
      </c>
      <c r="K381" t="s">
        <v>290</v>
      </c>
      <c r="L381" t="s">
        <v>307</v>
      </c>
      <c r="M381" t="str">
        <f>IF(Tabela1[[#This Row],[Tipo_aval]]="auto","Ok",IF(ISERROR(VLOOKUP(Tabela1[[#This Row],[Participante]],Atualização!$B:$B,1,FALSE)),"Ok","Atualizar"))</f>
        <v>Ok</v>
      </c>
      <c r="N38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1" t="str">
        <f>IF(IFERROR(VLOOKUP(Tabela1[[#This Row],[Novo_Avaliador]],Usuários!$A:$B,2,FALSE),"")="","",IFERROR(VLOOKUP(Tabela1[[#This Row],[Novo_Avaliador]],Usuários!$A:$B,2,FALSE),""))</f>
        <v>wilson.fernandes@enind.com.br</v>
      </c>
      <c r="P381" t="str">
        <f>IF(Tabela1[[#This Row],[Novo_Avaliador]]=Tabela1[[#This Row],[Avaliador]],"Sim","Não")</f>
        <v>Sim</v>
      </c>
      <c r="Q381" t="b">
        <f>Tabela1[[#This Row],[email_repres]]=Tabela1[[#This Row],[e-mail novo avaliador]]</f>
        <v>1</v>
      </c>
    </row>
    <row r="382" spans="1:17" x14ac:dyDescent="0.25">
      <c r="A382" s="2" t="s">
        <v>46</v>
      </c>
      <c r="B382" s="2" t="s">
        <v>71</v>
      </c>
      <c r="C382" s="2" t="s">
        <v>290</v>
      </c>
      <c r="D382" s="2" t="s">
        <v>303</v>
      </c>
      <c r="E382" s="2" t="str">
        <f>VLOOKUP(Tabela1[[#This Row],[Avaliador]],Usuários!A:I,COLUMN($H$1),0)</f>
        <v>wilson.fernandes</v>
      </c>
      <c r="F382" s="2" t="str">
        <f>VLOOKUP(Tabela1[[#This Row],[Avaliador]],Usuários!$A:$I,COLUMN($I$1),0)</f>
        <v>571wf!@</v>
      </c>
      <c r="G382" s="2" t="str">
        <f>VLOOKUP(Tabela1[[#This Row],[Participante]],Usuários!$A:$I,COLUMN($H$1),0)</f>
        <v>joao.silva</v>
      </c>
      <c r="H382" s="2" t="str">
        <f>VLOOKUP(Tabela1[[#This Row],[Participante]],Usuários!$A:$I,COLUMN($I$1),0)</f>
        <v>878js!@</v>
      </c>
      <c r="I382" s="1" t="s">
        <v>16</v>
      </c>
      <c r="J382" s="1" t="s">
        <v>16</v>
      </c>
      <c r="K382" t="s">
        <v>290</v>
      </c>
      <c r="L382" t="s">
        <v>307</v>
      </c>
      <c r="M382" t="str">
        <f>IF(Tabela1[[#This Row],[Tipo_aval]]="auto","Ok",IF(ISERROR(VLOOKUP(Tabela1[[#This Row],[Participante]],Atualização!$B:$B,1,FALSE)),"Ok","Atualizar"))</f>
        <v>Ok</v>
      </c>
      <c r="N382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2" t="str">
        <f>IF(IFERROR(VLOOKUP(Tabela1[[#This Row],[Novo_Avaliador]],Usuários!$A:$B,2,FALSE),"")="","",IFERROR(VLOOKUP(Tabela1[[#This Row],[Novo_Avaliador]],Usuários!$A:$B,2,FALSE),""))</f>
        <v>wilson.fernandes@enind.com.br</v>
      </c>
      <c r="P382" t="str">
        <f>IF(Tabela1[[#This Row],[Novo_Avaliador]]=Tabela1[[#This Row],[Avaliador]],"Sim","Não")</f>
        <v>Sim</v>
      </c>
      <c r="Q382" t="b">
        <f>Tabela1[[#This Row],[email_repres]]=Tabela1[[#This Row],[e-mail novo avaliador]]</f>
        <v>1</v>
      </c>
    </row>
    <row r="383" spans="1:17" x14ac:dyDescent="0.25">
      <c r="A383" t="s">
        <v>203</v>
      </c>
      <c r="B383" t="s">
        <v>71</v>
      </c>
      <c r="C383" t="s">
        <v>290</v>
      </c>
      <c r="D383" t="s">
        <v>303</v>
      </c>
      <c r="E383" s="2" t="str">
        <f>VLOOKUP(Tabela1[[#This Row],[Avaliador]],Usuários!A:I,COLUMN($H$1),0)</f>
        <v>wilson.fernandes</v>
      </c>
      <c r="F383" s="2" t="str">
        <f>VLOOKUP(Tabela1[[#This Row],[Avaliador]],Usuários!$A:$I,COLUMN($I$1),0)</f>
        <v>571wf!@</v>
      </c>
      <c r="G383" s="2" t="str">
        <f>VLOOKUP(Tabela1[[#This Row],[Participante]],Usuários!$A:$I,COLUMN($H$1),0)</f>
        <v>jose.paz</v>
      </c>
      <c r="H383" s="2" t="str">
        <f>VLOOKUP(Tabela1[[#This Row],[Participante]],Usuários!$A:$I,COLUMN($I$1),0)</f>
        <v>834jp!@</v>
      </c>
      <c r="I383" s="1" t="s">
        <v>16</v>
      </c>
      <c r="J383" s="1" t="s">
        <v>16</v>
      </c>
      <c r="K383" t="s">
        <v>290</v>
      </c>
      <c r="L383" t="s">
        <v>307</v>
      </c>
      <c r="M383" t="str">
        <f>IF(Tabela1[[#This Row],[Tipo_aval]]="auto","Ok",IF(ISERROR(VLOOKUP(Tabela1[[#This Row],[Participante]],Atualização!$B:$B,1,FALSE)),"Ok","Atualizar"))</f>
        <v>Ok</v>
      </c>
      <c r="N383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3" t="str">
        <f>IF(IFERROR(VLOOKUP(Tabela1[[#This Row],[Novo_Avaliador]],Usuários!$A:$B,2,FALSE),"")="","",IFERROR(VLOOKUP(Tabela1[[#This Row],[Novo_Avaliador]],Usuários!$A:$B,2,FALSE),""))</f>
        <v>wilson.fernandes@enind.com.br</v>
      </c>
      <c r="P383" t="str">
        <f>IF(Tabela1[[#This Row],[Novo_Avaliador]]=Tabela1[[#This Row],[Avaliador]],"Sim","Não")</f>
        <v>Sim</v>
      </c>
      <c r="Q383" t="b">
        <f>Tabela1[[#This Row],[email_repres]]=Tabela1[[#This Row],[e-mail novo avaliador]]</f>
        <v>1</v>
      </c>
    </row>
    <row r="384" spans="1:17" x14ac:dyDescent="0.25">
      <c r="A384" t="s">
        <v>99</v>
      </c>
      <c r="B384" t="s">
        <v>71</v>
      </c>
      <c r="C384" t="s">
        <v>290</v>
      </c>
      <c r="D384" t="s">
        <v>303</v>
      </c>
      <c r="E384" s="2" t="str">
        <f>VLOOKUP(Tabela1[[#This Row],[Avaliador]],Usuários!A:I,COLUMN($H$1),0)</f>
        <v>wilson.fernandes</v>
      </c>
      <c r="F384" s="2" t="str">
        <f>VLOOKUP(Tabela1[[#This Row],[Avaliador]],Usuários!$A:$I,COLUMN($I$1),0)</f>
        <v>571wf!@</v>
      </c>
      <c r="G384" s="2" t="str">
        <f>VLOOKUP(Tabela1[[#This Row],[Participante]],Usuários!$A:$I,COLUMN($H$1),0)</f>
        <v>jose.alves</v>
      </c>
      <c r="H384" s="2" t="str">
        <f>VLOOKUP(Tabela1[[#This Row],[Participante]],Usuários!$A:$I,COLUMN($I$1),0)</f>
        <v>882ja!@</v>
      </c>
      <c r="I384" s="1" t="s">
        <v>16</v>
      </c>
      <c r="J384" s="1" t="s">
        <v>16</v>
      </c>
      <c r="K384" t="s">
        <v>290</v>
      </c>
      <c r="L384" t="s">
        <v>307</v>
      </c>
      <c r="M384" t="str">
        <f>IF(Tabela1[[#This Row],[Tipo_aval]]="auto","Ok",IF(ISERROR(VLOOKUP(Tabela1[[#This Row],[Participante]],Atualização!$B:$B,1,FALSE)),"Ok","Atualizar"))</f>
        <v>Ok</v>
      </c>
      <c r="N384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4" t="str">
        <f>IF(IFERROR(VLOOKUP(Tabela1[[#This Row],[Novo_Avaliador]],Usuários!$A:$B,2,FALSE),"")="","",IFERROR(VLOOKUP(Tabela1[[#This Row],[Novo_Avaliador]],Usuários!$A:$B,2,FALSE),""))</f>
        <v>wilson.fernandes@enind.com.br</v>
      </c>
      <c r="P384" t="str">
        <f>IF(Tabela1[[#This Row],[Novo_Avaliador]]=Tabela1[[#This Row],[Avaliador]],"Sim","Não")</f>
        <v>Sim</v>
      </c>
      <c r="Q384" t="b">
        <f>Tabela1[[#This Row],[email_repres]]=Tabela1[[#This Row],[e-mail novo avaliador]]</f>
        <v>1</v>
      </c>
    </row>
    <row r="385" spans="1:17" x14ac:dyDescent="0.25">
      <c r="A385" t="s">
        <v>181</v>
      </c>
      <c r="B385" t="s">
        <v>71</v>
      </c>
      <c r="C385" t="s">
        <v>290</v>
      </c>
      <c r="D385" t="s">
        <v>303</v>
      </c>
      <c r="E385" s="2" t="str">
        <f>VLOOKUP(Tabela1[[#This Row],[Avaliador]],Usuários!A:I,COLUMN($H$1),0)</f>
        <v>wilson.fernandes</v>
      </c>
      <c r="F385" s="2" t="str">
        <f>VLOOKUP(Tabela1[[#This Row],[Avaliador]],Usuários!$A:$I,COLUMN($I$1),0)</f>
        <v>571wf!@</v>
      </c>
      <c r="G385" s="2" t="str">
        <f>VLOOKUP(Tabela1[[#This Row],[Participante]],Usuários!$A:$I,COLUMN($H$1),0)</f>
        <v>josenildo.souza</v>
      </c>
      <c r="H385" s="2" t="str">
        <f>VLOOKUP(Tabela1[[#This Row],[Participante]],Usuários!$A:$I,COLUMN($I$1),0)</f>
        <v>250js!@</v>
      </c>
      <c r="I385" s="1" t="s">
        <v>16</v>
      </c>
      <c r="J385" s="1" t="s">
        <v>16</v>
      </c>
      <c r="K385" t="s">
        <v>290</v>
      </c>
      <c r="L385" t="s">
        <v>307</v>
      </c>
      <c r="M385" t="str">
        <f>IF(Tabela1[[#This Row],[Tipo_aval]]="auto","Ok",IF(ISERROR(VLOOKUP(Tabela1[[#This Row],[Participante]],Atualização!$B:$B,1,FALSE)),"Ok","Atualizar"))</f>
        <v>Ok</v>
      </c>
      <c r="N385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5" t="str">
        <f>IF(IFERROR(VLOOKUP(Tabela1[[#This Row],[Novo_Avaliador]],Usuários!$A:$B,2,FALSE),"")="","",IFERROR(VLOOKUP(Tabela1[[#This Row],[Novo_Avaliador]],Usuários!$A:$B,2,FALSE),""))</f>
        <v>wilson.fernandes@enind.com.br</v>
      </c>
      <c r="P385" t="str">
        <f>IF(Tabela1[[#This Row],[Novo_Avaliador]]=Tabela1[[#This Row],[Avaliador]],"Sim","Não")</f>
        <v>Sim</v>
      </c>
      <c r="Q385" t="b">
        <f>Tabela1[[#This Row],[email_repres]]=Tabela1[[#This Row],[e-mail novo avaliador]]</f>
        <v>1</v>
      </c>
    </row>
    <row r="386" spans="1:17" x14ac:dyDescent="0.25">
      <c r="A386" t="s">
        <v>53</v>
      </c>
      <c r="B386" t="s">
        <v>71</v>
      </c>
      <c r="C386" t="s">
        <v>290</v>
      </c>
      <c r="D386" t="s">
        <v>303</v>
      </c>
      <c r="E386" s="2" t="str">
        <f>VLOOKUP(Tabela1[[#This Row],[Avaliador]],Usuários!A:I,COLUMN($H$1),0)</f>
        <v>wilson.fernandes</v>
      </c>
      <c r="F386" s="2" t="str">
        <f>VLOOKUP(Tabela1[[#This Row],[Avaliador]],Usuários!$A:$I,COLUMN($I$1),0)</f>
        <v>571wf!@</v>
      </c>
      <c r="G386" s="2" t="str">
        <f>VLOOKUP(Tabela1[[#This Row],[Participante]],Usuários!$A:$I,COLUMN($H$1),0)</f>
        <v>marcos.batista</v>
      </c>
      <c r="H386" s="2" t="str">
        <f>VLOOKUP(Tabela1[[#This Row],[Participante]],Usuários!$A:$I,COLUMN($I$1),0)</f>
        <v>395mb!@</v>
      </c>
      <c r="I386" s="1" t="s">
        <v>16</v>
      </c>
      <c r="J386" s="1" t="s">
        <v>16</v>
      </c>
      <c r="K386" t="s">
        <v>290</v>
      </c>
      <c r="L386" t="s">
        <v>307</v>
      </c>
      <c r="M386" t="str">
        <f>IF(Tabela1[[#This Row],[Tipo_aval]]="auto","Ok",IF(ISERROR(VLOOKUP(Tabela1[[#This Row],[Participante]],Atualização!$B:$B,1,FALSE)),"Ok","Atualizar"))</f>
        <v>Ok</v>
      </c>
      <c r="N386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6" t="str">
        <f>IF(IFERROR(VLOOKUP(Tabela1[[#This Row],[Novo_Avaliador]],Usuários!$A:$B,2,FALSE),"")="","",IFERROR(VLOOKUP(Tabela1[[#This Row],[Novo_Avaliador]],Usuários!$A:$B,2,FALSE),""))</f>
        <v>wilson.fernandes@enind.com.br</v>
      </c>
      <c r="P386" t="str">
        <f>IF(Tabela1[[#This Row],[Novo_Avaliador]]=Tabela1[[#This Row],[Avaliador]],"Sim","Não")</f>
        <v>Sim</v>
      </c>
      <c r="Q386" t="b">
        <f>Tabela1[[#This Row],[email_repres]]=Tabela1[[#This Row],[e-mail novo avaliador]]</f>
        <v>1</v>
      </c>
    </row>
    <row r="387" spans="1:17" x14ac:dyDescent="0.25">
      <c r="A387" t="s">
        <v>104</v>
      </c>
      <c r="B387" t="s">
        <v>71</v>
      </c>
      <c r="C387" t="s">
        <v>290</v>
      </c>
      <c r="D387" t="s">
        <v>303</v>
      </c>
      <c r="E387" s="2" t="str">
        <f>VLOOKUP(Tabela1[[#This Row],[Avaliador]],Usuários!A:I,COLUMN($H$1),0)</f>
        <v>wilson.fernandes</v>
      </c>
      <c r="F387" s="2" t="str">
        <f>VLOOKUP(Tabela1[[#This Row],[Avaliador]],Usuários!$A:$I,COLUMN($I$1),0)</f>
        <v>571wf!@</v>
      </c>
      <c r="G387" s="2" t="str">
        <f>VLOOKUP(Tabela1[[#This Row],[Participante]],Usuários!$A:$I,COLUMN($H$1),0)</f>
        <v>rauan.silva</v>
      </c>
      <c r="H387" s="2" t="str">
        <f>VLOOKUP(Tabela1[[#This Row],[Participante]],Usuários!$A:$I,COLUMN($I$1),0)</f>
        <v>390rs!@</v>
      </c>
      <c r="I387" s="1" t="s">
        <v>16</v>
      </c>
      <c r="J387" s="1" t="s">
        <v>16</v>
      </c>
      <c r="K387" t="s">
        <v>290</v>
      </c>
      <c r="L387" t="s">
        <v>307</v>
      </c>
      <c r="M387" t="str">
        <f>IF(Tabela1[[#This Row],[Tipo_aval]]="auto","Ok",IF(ISERROR(VLOOKUP(Tabela1[[#This Row],[Participante]],Atualização!$B:$B,1,FALSE)),"Ok","Atualizar"))</f>
        <v>Ok</v>
      </c>
      <c r="N387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7" t="str">
        <f>IF(IFERROR(VLOOKUP(Tabela1[[#This Row],[Novo_Avaliador]],Usuários!$A:$B,2,FALSE),"")="","",IFERROR(VLOOKUP(Tabela1[[#This Row],[Novo_Avaliador]],Usuários!$A:$B,2,FALSE),""))</f>
        <v>wilson.fernandes@enind.com.br</v>
      </c>
      <c r="P387" t="str">
        <f>IF(Tabela1[[#This Row],[Novo_Avaliador]]=Tabela1[[#This Row],[Avaliador]],"Sim","Não")</f>
        <v>Sim</v>
      </c>
      <c r="Q387" t="b">
        <f>Tabela1[[#This Row],[email_repres]]=Tabela1[[#This Row],[e-mail novo avaliador]]</f>
        <v>1</v>
      </c>
    </row>
    <row r="388" spans="1:17" x14ac:dyDescent="0.25">
      <c r="A388" t="s">
        <v>254</v>
      </c>
      <c r="B388" t="s">
        <v>71</v>
      </c>
      <c r="C388" t="s">
        <v>290</v>
      </c>
      <c r="D388" t="s">
        <v>303</v>
      </c>
      <c r="E388" s="2" t="str">
        <f>VLOOKUP(Tabela1[[#This Row],[Avaliador]],Usuários!A:I,COLUMN($H$1),0)</f>
        <v>wilson.fernandes</v>
      </c>
      <c r="F388" s="2" t="str">
        <f>VLOOKUP(Tabela1[[#This Row],[Avaliador]],Usuários!$A:$I,COLUMN($I$1),0)</f>
        <v>571wf!@</v>
      </c>
      <c r="G388" s="2" t="str">
        <f>VLOOKUP(Tabela1[[#This Row],[Participante]],Usuários!$A:$I,COLUMN($H$1),0)</f>
        <v>rodolfo.moraes</v>
      </c>
      <c r="H388" s="2" t="str">
        <f>VLOOKUP(Tabela1[[#This Row],[Participante]],Usuários!$A:$I,COLUMN($I$1),0)</f>
        <v>129rm!@</v>
      </c>
      <c r="I388" s="1" t="s">
        <v>16</v>
      </c>
      <c r="J388" s="1" t="s">
        <v>16</v>
      </c>
      <c r="K388" t="s">
        <v>290</v>
      </c>
      <c r="L388" t="s">
        <v>309</v>
      </c>
      <c r="M388" t="str">
        <f>IF(Tabela1[[#This Row],[Tipo_aval]]="auto","Ok",IF(ISERROR(VLOOKUP(Tabela1[[#This Row],[Participante]],Atualização!$B:$B,1,FALSE)),"Ok","Atualizar"))</f>
        <v>Ok</v>
      </c>
      <c r="N388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8" t="str">
        <f>IF(IFERROR(VLOOKUP(Tabela1[[#This Row],[Novo_Avaliador]],Usuários!$A:$B,2,FALSE),"")="","",IFERROR(VLOOKUP(Tabela1[[#This Row],[Novo_Avaliador]],Usuários!$A:$B,2,FALSE),""))</f>
        <v>wilson.fernandes@enind.com.br</v>
      </c>
      <c r="P388" t="str">
        <f>IF(Tabela1[[#This Row],[Novo_Avaliador]]=Tabela1[[#This Row],[Avaliador]],"Sim","Não")</f>
        <v>Sim</v>
      </c>
      <c r="Q388" t="b">
        <f>Tabela1[[#This Row],[email_repres]]=Tabela1[[#This Row],[e-mail novo avaliador]]</f>
        <v>1</v>
      </c>
    </row>
    <row r="389" spans="1:17" x14ac:dyDescent="0.25">
      <c r="A389" t="s">
        <v>62</v>
      </c>
      <c r="B389" t="s">
        <v>71</v>
      </c>
      <c r="C389" t="s">
        <v>290</v>
      </c>
      <c r="D389" t="s">
        <v>303</v>
      </c>
      <c r="E389" s="2" t="str">
        <f>VLOOKUP(Tabela1[[#This Row],[Avaliador]],Usuários!A:I,COLUMN($H$1),0)</f>
        <v>wilson.fernandes</v>
      </c>
      <c r="F389" s="2" t="str">
        <f>VLOOKUP(Tabela1[[#This Row],[Avaliador]],Usuários!$A:$I,COLUMN($I$1),0)</f>
        <v>571wf!@</v>
      </c>
      <c r="G389" s="2" t="str">
        <f>VLOOKUP(Tabela1[[#This Row],[Participante]],Usuários!$A:$I,COLUMN($H$1),0)</f>
        <v>silvio.silva</v>
      </c>
      <c r="H389" s="2" t="str">
        <f>VLOOKUP(Tabela1[[#This Row],[Participante]],Usuários!$A:$I,COLUMN($I$1),0)</f>
        <v>743ss!@</v>
      </c>
      <c r="I389" s="1" t="s">
        <v>16</v>
      </c>
      <c r="J389" s="1" t="s">
        <v>16</v>
      </c>
      <c r="K389" t="s">
        <v>290</v>
      </c>
      <c r="L389" t="s">
        <v>307</v>
      </c>
      <c r="M389" t="str">
        <f>IF(Tabela1[[#This Row],[Tipo_aval]]="auto","Ok",IF(ISERROR(VLOOKUP(Tabela1[[#This Row],[Participante]],Atualização!$B:$B,1,FALSE)),"Ok","Atualizar"))</f>
        <v>Ok</v>
      </c>
      <c r="N389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89" t="str">
        <f>IF(IFERROR(VLOOKUP(Tabela1[[#This Row],[Novo_Avaliador]],Usuários!$A:$B,2,FALSE),"")="","",IFERROR(VLOOKUP(Tabela1[[#This Row],[Novo_Avaliador]],Usuários!$A:$B,2,FALSE),""))</f>
        <v>wilson.fernandes@enind.com.br</v>
      </c>
      <c r="P389" t="str">
        <f>IF(Tabela1[[#This Row],[Novo_Avaliador]]=Tabela1[[#This Row],[Avaliador]],"Sim","Não")</f>
        <v>Sim</v>
      </c>
      <c r="Q389" t="b">
        <f>Tabela1[[#This Row],[email_repres]]=Tabela1[[#This Row],[e-mail novo avaliador]]</f>
        <v>1</v>
      </c>
    </row>
    <row r="390" spans="1:17" x14ac:dyDescent="0.25">
      <c r="A390" t="s">
        <v>339</v>
      </c>
      <c r="B390" t="s">
        <v>71</v>
      </c>
      <c r="C390" t="s">
        <v>290</v>
      </c>
      <c r="D390" t="s">
        <v>303</v>
      </c>
      <c r="E390" s="2" t="str">
        <f>VLOOKUP(Tabela1[[#This Row],[Avaliador]],Usuários!A:I,COLUMN($H$1),0)</f>
        <v>wilson.fernandes</v>
      </c>
      <c r="F390" s="2" t="str">
        <f>VLOOKUP(Tabela1[[#This Row],[Avaliador]],Usuários!$A:$I,COLUMN($I$1),0)</f>
        <v>571wf!@</v>
      </c>
      <c r="G390" s="2" t="str">
        <f>VLOOKUP(Tabela1[[#This Row],[Participante]],Usuários!$A:$I,COLUMN($H$1),0)</f>
        <v>isabela.pinheiro</v>
      </c>
      <c r="H390" s="2" t="str">
        <f>VLOOKUP(Tabela1[[#This Row],[Participante]],Usuários!$A:$I,COLUMN($I$1),0)</f>
        <v>448ip!@</v>
      </c>
      <c r="I390" s="1" t="s">
        <v>16</v>
      </c>
      <c r="J390" s="1" t="s">
        <v>16</v>
      </c>
      <c r="K390" t="s">
        <v>290</v>
      </c>
      <c r="L390" t="s">
        <v>307</v>
      </c>
      <c r="M390" t="str">
        <f>IF(Tabela1[[#This Row],[Tipo_aval]]="auto","Ok",IF(ISERROR(VLOOKUP(Tabela1[[#This Row],[Participante]],Atualização!$B:$B,1,FALSE)),"Ok","Atualizar"))</f>
        <v>Ok</v>
      </c>
      <c r="N390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90" t="str">
        <f>IF(IFERROR(VLOOKUP(Tabela1[[#This Row],[Novo_Avaliador]],Usuários!$A:$B,2,FALSE),"")="","",IFERROR(VLOOKUP(Tabela1[[#This Row],[Novo_Avaliador]],Usuários!$A:$B,2,FALSE),""))</f>
        <v>wilson.fernandes@enind.com.br</v>
      </c>
      <c r="P390" t="str">
        <f>IF(Tabela1[[#This Row],[Novo_Avaliador]]=Tabela1[[#This Row],[Avaliador]],"Sim","Não")</f>
        <v>Sim</v>
      </c>
      <c r="Q390" t="b">
        <f>Tabela1[[#This Row],[email_repres]]=Tabela1[[#This Row],[e-mail novo avaliador]]</f>
        <v>1</v>
      </c>
    </row>
    <row r="391" spans="1:17" x14ac:dyDescent="0.25">
      <c r="A391" t="s">
        <v>348</v>
      </c>
      <c r="B391" t="s">
        <v>71</v>
      </c>
      <c r="C391" t="s">
        <v>290</v>
      </c>
      <c r="D391" t="s">
        <v>303</v>
      </c>
      <c r="E391" s="2" t="str">
        <f>VLOOKUP(Tabela1[[#This Row],[Avaliador]],Usuários!A:I,COLUMN($H$1),0)</f>
        <v>wilson.fernandes</v>
      </c>
      <c r="F391" s="2" t="str">
        <f>VLOOKUP(Tabela1[[#This Row],[Avaliador]],Usuários!$A:$I,COLUMN($I$1),0)</f>
        <v>571wf!@</v>
      </c>
      <c r="G391" s="2" t="str">
        <f>VLOOKUP(Tabela1[[#This Row],[Participante]],Usuários!$A:$I,COLUMN($H$1),0)</f>
        <v>marcia.santana</v>
      </c>
      <c r="H391" s="2" t="str">
        <f>VLOOKUP(Tabela1[[#This Row],[Participante]],Usuários!$A:$I,COLUMN($I$1),0)</f>
        <v>342ms!@</v>
      </c>
      <c r="I391" s="1" t="s">
        <v>16</v>
      </c>
      <c r="J391" s="1" t="s">
        <v>16</v>
      </c>
      <c r="K391" t="s">
        <v>290</v>
      </c>
      <c r="L391" t="s">
        <v>307</v>
      </c>
      <c r="M391" t="str">
        <f>IF(Tabela1[[#This Row],[Tipo_aval]]="auto","Ok",IF(ISERROR(VLOOKUP(Tabela1[[#This Row],[Participante]],Atualização!$B:$B,1,FALSE)),"Ok","Atualizar"))</f>
        <v>Ok</v>
      </c>
      <c r="N391" t="str">
        <f>IF(OR(Tabela1[[#This Row],[Status]]="Ok",Tabela1[[#This Row],[Tipo_aval]]="auto"),Tabela1[[#This Row],[Avaliador]],IF(Tabela1[[#This Row],[Tipo_aval]]="Avaliador1",VLOOKUP(Tabela1[[#This Row],[Participante]],Atualização!$B:$J,COLUMN($F$1)-1,FALSE),VLOOKUP(Tabela1[[#This Row],[Participante]],Atualização!$B:$J,COLUMN($H$1)-1,FALSE)))</f>
        <v>Wilson Tassinari Fernandes</v>
      </c>
      <c r="O391" t="str">
        <f>IF(IFERROR(VLOOKUP(Tabela1[[#This Row],[Novo_Avaliador]],Usuários!$A:$B,2,FALSE),"")="","",IFERROR(VLOOKUP(Tabela1[[#This Row],[Novo_Avaliador]],Usuários!$A:$B,2,FALSE),""))</f>
        <v>wilson.fernandes@enind.com.br</v>
      </c>
      <c r="P391" t="str">
        <f>IF(Tabela1[[#This Row],[Novo_Avaliador]]=Tabela1[[#This Row],[Avaliador]],"Sim","Não")</f>
        <v>Sim</v>
      </c>
      <c r="Q391" t="b">
        <f>Tabela1[[#This Row],[email_repres]]=Tabela1[[#This Row],[e-mail novo avaliador]]</f>
        <v>1</v>
      </c>
    </row>
  </sheetData>
  <phoneticPr fontId="3" type="noConversion"/>
  <conditionalFormatting sqref="I1:J1048576">
    <cfRule type="cellIs" dxfId="1" priority="3" operator="equal">
      <formula>"Não"</formula>
    </cfRule>
    <cfRule type="cellIs" dxfId="0" priority="4" operator="equal">
      <formula>"Sim"</formula>
    </cfRule>
  </conditionalFormatting>
  <hyperlinks>
    <hyperlink ref="D4" r:id="rId1" display="hilton.torres@enind.com.br" xr:uid="{739BF33A-010E-4AA3-BFD0-C8980F9EB813}"/>
    <hyperlink ref="D15" r:id="rId2" display="jean.oliveira@enind.com.br" xr:uid="{D07DF1EB-FB80-410D-B319-0FE2EB104C2C}"/>
    <hyperlink ref="D354" r:id="rId3" display="hilton.torres@enind.com.br" xr:uid="{B000730C-6550-4B70-80A9-5F8CDDDFC86C}"/>
    <hyperlink ref="D180" r:id="rId4" display="everaldo.silva@enind.com.br" xr:uid="{4B2113D5-8682-4E72-BEF9-2935CE52E850}"/>
    <hyperlink ref="D255" r:id="rId5" display="everaldo.silva@enind.com.br" xr:uid="{5D003C94-2CB3-47EF-B601-E2BFC3F8AD2E}"/>
    <hyperlink ref="D141:D142" r:id="rId6" display="everaldo.silva@enind.com.br" xr:uid="{3BE3B41F-A148-4AC0-9EF9-054C1D06DE7B}"/>
    <hyperlink ref="D226" r:id="rId7" display="everaldo.silva@enind.com.br" xr:uid="{62606E21-69E8-4A4A-B90D-9B1A12A31C36}"/>
    <hyperlink ref="D137:D140" r:id="rId8" display="antonio.santos@enind.com.br" xr:uid="{3D301AEE-9DEB-42DC-9701-83EAC9CD573D}"/>
    <hyperlink ref="C69" r:id="rId9" display="hilton.torres@enind.com.br" xr:uid="{818FFE16-390A-4CFF-8BD3-6FA6AA3C25A8}"/>
    <hyperlink ref="K190" r:id="rId10" xr:uid="{238DCD60-B5B6-4BD5-B2D6-48536AF9F667}"/>
    <hyperlink ref="K194" r:id="rId11" xr:uid="{FA0BE04D-ACA5-4D25-B3BC-690007E40812}"/>
    <hyperlink ref="K366" r:id="rId12" xr:uid="{80DA185F-D7E7-4537-A466-7ADC2B6C98BE}"/>
    <hyperlink ref="K199" r:id="rId13" xr:uid="{9DE20185-22E7-4B36-AA47-9396DC30E6D9}"/>
  </hyperlinks>
  <pageMargins left="0.511811024" right="0.511811024" top="0.78740157499999996" bottom="0.78740157499999996" header="0.31496062000000002" footer="0.31496062000000002"/>
  <pageSetup paperSize="9" orientation="portrait" verticalDpi="0"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345F-570B-4F7A-8673-7ADAD1F6B111}">
  <dimension ref="A1:K24"/>
  <sheetViews>
    <sheetView workbookViewId="0">
      <selection activeCell="B26" sqref="B26"/>
    </sheetView>
  </sheetViews>
  <sheetFormatPr defaultRowHeight="15" x14ac:dyDescent="0.25"/>
  <cols>
    <col min="2" max="2" width="36.7109375" bestFit="1" customWidth="1"/>
    <col min="7" max="7" width="14" bestFit="1" customWidth="1"/>
    <col min="8" max="8" width="31.42578125" bestFit="1" customWidth="1"/>
  </cols>
  <sheetData>
    <row r="1" spans="1:11" x14ac:dyDescent="0.25">
      <c r="A1" s="2" t="s">
        <v>570</v>
      </c>
      <c r="B1" s="2" t="s">
        <v>0</v>
      </c>
      <c r="C1" s="2" t="s">
        <v>571</v>
      </c>
      <c r="D1" s="2" t="s">
        <v>572</v>
      </c>
      <c r="E1" s="2" t="s">
        <v>573</v>
      </c>
      <c r="F1" s="2" t="s">
        <v>574</v>
      </c>
      <c r="G1" s="2" t="s">
        <v>575</v>
      </c>
      <c r="H1" s="2" t="s">
        <v>576</v>
      </c>
      <c r="I1" s="2" t="s">
        <v>577</v>
      </c>
      <c r="J1" s="2" t="s">
        <v>578</v>
      </c>
      <c r="K1" s="2" t="s">
        <v>579</v>
      </c>
    </row>
    <row r="2" spans="1:11" x14ac:dyDescent="0.25">
      <c r="A2" s="2">
        <v>4</v>
      </c>
      <c r="B2" s="2" t="s">
        <v>19</v>
      </c>
      <c r="C2" s="2" t="s">
        <v>147</v>
      </c>
      <c r="D2" s="2" t="s">
        <v>24</v>
      </c>
      <c r="E2" s="2" t="s">
        <v>307</v>
      </c>
      <c r="F2" s="2" t="s">
        <v>24</v>
      </c>
      <c r="G2" t="b">
        <v>0</v>
      </c>
      <c r="H2" t="s">
        <v>147</v>
      </c>
      <c r="I2" t="b">
        <v>0</v>
      </c>
      <c r="J2" t="s">
        <v>569</v>
      </c>
      <c r="K2" t="str">
        <f>"UPDATE QuestRH_Relacoes Set Avaliador1 = '" &amp; F2 &amp; "', Avaliador2 = '" &amp; H2 &amp; "' where ID = " &amp; A2 &amp; ";"</f>
        <v>UPDATE QuestRH_Relacoes Set Avaliador1 = 'Rodrigo Santana Moralez', Avaliador2 = 'Fernando Marques Correa' where ID = 4;</v>
      </c>
    </row>
    <row r="3" spans="1:11" x14ac:dyDescent="0.25">
      <c r="A3" s="2">
        <v>18</v>
      </c>
      <c r="B3" s="2" t="s">
        <v>54</v>
      </c>
      <c r="C3" s="2" t="s">
        <v>71</v>
      </c>
      <c r="D3" s="2" t="s">
        <v>15</v>
      </c>
      <c r="E3" s="2" t="s">
        <v>309</v>
      </c>
      <c r="F3" s="2" t="s">
        <v>71</v>
      </c>
      <c r="G3" t="b">
        <v>1</v>
      </c>
      <c r="H3" t="s">
        <v>77</v>
      </c>
      <c r="I3" t="b">
        <v>0</v>
      </c>
      <c r="J3" t="s">
        <v>569</v>
      </c>
      <c r="K3" t="str">
        <f t="shared" ref="K3:K24" si="0">"UPDATE QuestRH_Relacoes Set Avaliador1 = '" &amp; F3 &amp; "', Avaliador2 = '" &amp; H3 &amp; "' where ID = " &amp; A3 &amp; ";"</f>
        <v>UPDATE QuestRH_Relacoes Set Avaliador1 = 'Wilson Tassinari Fernandes', Avaliador2 = 'Weslley Chaves da Costa' where ID = 18;</v>
      </c>
    </row>
    <row r="4" spans="1:11" x14ac:dyDescent="0.25">
      <c r="A4" s="2">
        <v>20</v>
      </c>
      <c r="B4" s="2" t="s">
        <v>25</v>
      </c>
      <c r="C4" s="2" t="s">
        <v>26</v>
      </c>
      <c r="D4" s="2" t="s">
        <v>59</v>
      </c>
      <c r="E4" s="2" t="s">
        <v>308</v>
      </c>
      <c r="F4" s="2" t="s">
        <v>59</v>
      </c>
      <c r="G4" t="b">
        <v>0</v>
      </c>
      <c r="H4" t="s">
        <v>77</v>
      </c>
      <c r="I4" t="b">
        <v>0</v>
      </c>
      <c r="J4" t="s">
        <v>569</v>
      </c>
      <c r="K4" t="str">
        <f t="shared" si="0"/>
        <v>UPDATE QuestRH_Relacoes Set Avaliador1 = 'Dayvson Faber Alcantara Silva', Avaliador2 = 'Weslley Chaves da Costa' where ID = 20;</v>
      </c>
    </row>
    <row r="5" spans="1:11" x14ac:dyDescent="0.25">
      <c r="A5" s="2">
        <v>23</v>
      </c>
      <c r="B5" s="2" t="s">
        <v>73</v>
      </c>
      <c r="C5" s="2" t="s">
        <v>71</v>
      </c>
      <c r="D5" s="2" t="s">
        <v>77</v>
      </c>
      <c r="E5" s="2" t="s">
        <v>309</v>
      </c>
      <c r="F5" s="2" t="s">
        <v>8</v>
      </c>
      <c r="G5" t="b">
        <v>0</v>
      </c>
      <c r="H5" t="s">
        <v>71</v>
      </c>
      <c r="I5" t="b">
        <v>0</v>
      </c>
      <c r="J5" t="s">
        <v>569</v>
      </c>
      <c r="K5" t="str">
        <f t="shared" si="0"/>
        <v>UPDATE QuestRH_Relacoes Set Avaliador1 = 'Hilton Helton Dias Torres', Avaliador2 = 'Wilson Tassinari Fernandes' where ID = 23;</v>
      </c>
    </row>
    <row r="6" spans="1:11" x14ac:dyDescent="0.25">
      <c r="A6" s="2">
        <v>25</v>
      </c>
      <c r="B6" s="2" t="s">
        <v>91</v>
      </c>
      <c r="C6" s="2" t="s">
        <v>272</v>
      </c>
      <c r="D6" s="2" t="s">
        <v>94</v>
      </c>
      <c r="E6" s="2" t="s">
        <v>307</v>
      </c>
      <c r="F6" s="2" t="s">
        <v>94</v>
      </c>
      <c r="G6" t="b">
        <v>0</v>
      </c>
      <c r="H6" t="s">
        <v>272</v>
      </c>
      <c r="I6" t="b">
        <v>0</v>
      </c>
      <c r="J6" t="s">
        <v>569</v>
      </c>
      <c r="K6" t="str">
        <f t="shared" si="0"/>
        <v>UPDATE QuestRH_Relacoes Set Avaliador1 = 'Thiago Santana de Oliveira', Avaliador2 = 'Wagner Souza Ferreira' where ID = 25;</v>
      </c>
    </row>
    <row r="7" spans="1:11" x14ac:dyDescent="0.25">
      <c r="A7" s="2">
        <v>28</v>
      </c>
      <c r="B7" s="2" t="s">
        <v>37</v>
      </c>
      <c r="C7" s="2" t="s">
        <v>71</v>
      </c>
      <c r="D7" s="2" t="s">
        <v>15</v>
      </c>
      <c r="E7" s="2" t="s">
        <v>309</v>
      </c>
      <c r="F7" s="2" t="s">
        <v>15</v>
      </c>
      <c r="G7" t="b">
        <v>0</v>
      </c>
      <c r="H7" t="s">
        <v>71</v>
      </c>
      <c r="I7" t="b">
        <v>0</v>
      </c>
      <c r="J7" t="s">
        <v>569</v>
      </c>
      <c r="K7" t="str">
        <f t="shared" si="0"/>
        <v>UPDATE QuestRH_Relacoes Set Avaliador1 = 'Welton Leandro Saldanha Martins', Avaliador2 = 'Wilson Tassinari Fernandes' where ID = 28;</v>
      </c>
    </row>
    <row r="8" spans="1:11" x14ac:dyDescent="0.25">
      <c r="A8" s="2">
        <v>29</v>
      </c>
      <c r="B8" s="2" t="s">
        <v>14</v>
      </c>
      <c r="C8" s="2" t="s">
        <v>117</v>
      </c>
      <c r="D8" s="2" t="s">
        <v>77</v>
      </c>
      <c r="E8" s="2" t="s">
        <v>309</v>
      </c>
      <c r="F8" s="2" t="s">
        <v>117</v>
      </c>
      <c r="G8" t="b">
        <v>1</v>
      </c>
      <c r="H8" t="s">
        <v>71</v>
      </c>
      <c r="I8" t="b">
        <v>0</v>
      </c>
      <c r="J8" t="s">
        <v>569</v>
      </c>
      <c r="K8" t="str">
        <f t="shared" si="0"/>
        <v>UPDATE QuestRH_Relacoes Set Avaliador1 = 'Guilherme Luis Eberhardt', Avaliador2 = 'Wilson Tassinari Fernandes' where ID = 29;</v>
      </c>
    </row>
    <row r="9" spans="1:11" x14ac:dyDescent="0.25">
      <c r="A9" s="2">
        <v>43</v>
      </c>
      <c r="B9" s="2" t="s">
        <v>159</v>
      </c>
      <c r="C9" s="2" t="s">
        <v>147</v>
      </c>
      <c r="D9" s="2" t="s">
        <v>24</v>
      </c>
      <c r="E9" s="2" t="s">
        <v>307</v>
      </c>
      <c r="F9" s="2" t="s">
        <v>24</v>
      </c>
      <c r="G9" t="b">
        <v>0</v>
      </c>
      <c r="H9" t="s">
        <v>147</v>
      </c>
      <c r="I9" t="b">
        <v>0</v>
      </c>
      <c r="J9" t="s">
        <v>569</v>
      </c>
      <c r="K9" t="str">
        <f t="shared" si="0"/>
        <v>UPDATE QuestRH_Relacoes Set Avaliador1 = 'Rodrigo Santana Moralez', Avaliador2 = 'Fernando Marques Correa' where ID = 43;</v>
      </c>
    </row>
    <row r="10" spans="1:11" x14ac:dyDescent="0.25">
      <c r="A10" s="2">
        <v>45</v>
      </c>
      <c r="B10" s="2" t="s">
        <v>117</v>
      </c>
      <c r="C10" s="2" t="s">
        <v>112</v>
      </c>
      <c r="D10" s="2" t="s">
        <v>291</v>
      </c>
      <c r="E10" s="2" t="s">
        <v>309</v>
      </c>
      <c r="F10" s="2" t="s">
        <v>291</v>
      </c>
      <c r="G10" t="b">
        <v>0</v>
      </c>
      <c r="H10" t="s">
        <v>112</v>
      </c>
      <c r="I10" t="b">
        <v>0</v>
      </c>
      <c r="J10" t="s">
        <v>569</v>
      </c>
      <c r="K10" t="str">
        <f t="shared" si="0"/>
        <v>UPDATE QuestRH_Relacoes Set Avaliador1 = 'Wiringhton Cristal Araujo', Avaliador2 = 'Evandro Luis Idalgo de Oliveira' where ID = 45;</v>
      </c>
    </row>
    <row r="11" spans="1:11" x14ac:dyDescent="0.25">
      <c r="A11" s="2">
        <v>66</v>
      </c>
      <c r="B11" s="2" t="s">
        <v>65</v>
      </c>
      <c r="C11" s="2" t="s">
        <v>59</v>
      </c>
      <c r="D11" s="2" t="s">
        <v>77</v>
      </c>
      <c r="E11" s="2" t="s">
        <v>307</v>
      </c>
      <c r="F11" s="2" t="s">
        <v>285</v>
      </c>
      <c r="G11" t="b">
        <v>0</v>
      </c>
      <c r="H11" t="s">
        <v>59</v>
      </c>
      <c r="I11" t="b">
        <v>0</v>
      </c>
      <c r="J11" t="s">
        <v>569</v>
      </c>
      <c r="K11" t="str">
        <f t="shared" si="0"/>
        <v>UPDATE QuestRH_Relacoes Set Avaliador1 = 'Antonio Aloisio Ferreira do Santos Filho', Avaliador2 = 'Dayvson Faber Alcantara Silva' where ID = 66;</v>
      </c>
    </row>
    <row r="12" spans="1:11" x14ac:dyDescent="0.25">
      <c r="A12" s="2">
        <v>69</v>
      </c>
      <c r="B12" s="2" t="s">
        <v>123</v>
      </c>
      <c r="C12" s="2" t="s">
        <v>15</v>
      </c>
      <c r="D12" s="2" t="s">
        <v>71</v>
      </c>
      <c r="E12" s="2" t="s">
        <v>309</v>
      </c>
      <c r="F12" s="2" t="s">
        <v>77</v>
      </c>
      <c r="G12" t="b">
        <v>0</v>
      </c>
      <c r="H12" t="s">
        <v>15</v>
      </c>
      <c r="I12" t="b">
        <v>0</v>
      </c>
      <c r="J12" t="s">
        <v>569</v>
      </c>
      <c r="K12" t="str">
        <f t="shared" si="0"/>
        <v>UPDATE QuestRH_Relacoes Set Avaliador1 = 'Weslley Chaves da Costa', Avaliador2 = 'Welton Leandro Saldanha Martins' where ID = 69;</v>
      </c>
    </row>
    <row r="13" spans="1:11" x14ac:dyDescent="0.25">
      <c r="A13" s="2">
        <v>76</v>
      </c>
      <c r="B13" s="2" t="s">
        <v>225</v>
      </c>
      <c r="C13" s="2" t="s">
        <v>222</v>
      </c>
      <c r="D13" s="2" t="s">
        <v>71</v>
      </c>
      <c r="E13" s="2" t="s">
        <v>307</v>
      </c>
      <c r="F13" s="2" t="s">
        <v>222</v>
      </c>
      <c r="G13" t="b">
        <v>1</v>
      </c>
      <c r="H13" t="s">
        <v>15</v>
      </c>
      <c r="I13" t="b">
        <v>0</v>
      </c>
      <c r="J13" t="s">
        <v>569</v>
      </c>
      <c r="K13" t="str">
        <f t="shared" si="0"/>
        <v>UPDATE QuestRH_Relacoes Set Avaliador1 = 'Luciano Aparecido Bastos', Avaliador2 = 'Welton Leandro Saldanha Martins' where ID = 76;</v>
      </c>
    </row>
    <row r="14" spans="1:11" x14ac:dyDescent="0.25">
      <c r="A14" s="2">
        <v>77</v>
      </c>
      <c r="B14" s="2" t="s">
        <v>234</v>
      </c>
      <c r="C14" s="2" t="s">
        <v>52</v>
      </c>
      <c r="D14" s="2" t="s">
        <v>15</v>
      </c>
      <c r="E14" s="2" t="s">
        <v>307</v>
      </c>
      <c r="F14" s="2" t="s">
        <v>52</v>
      </c>
      <c r="G14" t="b">
        <v>1</v>
      </c>
      <c r="H14" t="s">
        <v>71</v>
      </c>
      <c r="I14" t="b">
        <v>0</v>
      </c>
      <c r="J14" t="s">
        <v>569</v>
      </c>
      <c r="K14" t="str">
        <f t="shared" si="0"/>
        <v>UPDATE QuestRH_Relacoes Set Avaliador1 = 'Maria Thais Moreira Alves', Avaliador2 = 'Wilson Tassinari Fernandes' where ID = 77;</v>
      </c>
    </row>
    <row r="15" spans="1:11" x14ac:dyDescent="0.25">
      <c r="A15" s="2">
        <v>78</v>
      </c>
      <c r="B15" s="2" t="s">
        <v>52</v>
      </c>
      <c r="C15" s="2" t="s">
        <v>77</v>
      </c>
      <c r="D15" s="2" t="s">
        <v>112</v>
      </c>
      <c r="E15" s="2" t="s">
        <v>309</v>
      </c>
      <c r="F15" s="2" t="s">
        <v>112</v>
      </c>
      <c r="G15" t="b">
        <v>0</v>
      </c>
      <c r="H15" t="s">
        <v>291</v>
      </c>
      <c r="I15" t="b">
        <v>0</v>
      </c>
      <c r="J15" t="s">
        <v>569</v>
      </c>
      <c r="K15" t="str">
        <f t="shared" si="0"/>
        <v>UPDATE QuestRH_Relacoes Set Avaliador1 = 'Evandro Luis Idalgo de Oliveira', Avaliador2 = 'Wiringhton Cristal Araujo' where ID = 78;</v>
      </c>
    </row>
    <row r="16" spans="1:11" x14ac:dyDescent="0.25">
      <c r="A16" s="2">
        <v>81</v>
      </c>
      <c r="B16" s="2" t="s">
        <v>240</v>
      </c>
      <c r="C16" s="2" t="s">
        <v>257</v>
      </c>
      <c r="D16" s="2" t="s">
        <v>24</v>
      </c>
      <c r="E16" s="2" t="s">
        <v>307</v>
      </c>
      <c r="F16" s="2" t="s">
        <v>24</v>
      </c>
      <c r="G16" t="b">
        <v>0</v>
      </c>
      <c r="H16" t="s">
        <v>36</v>
      </c>
      <c r="I16" t="b">
        <v>0</v>
      </c>
      <c r="J16" t="s">
        <v>569</v>
      </c>
      <c r="K16" t="str">
        <f t="shared" si="0"/>
        <v>UPDATE QuestRH_Relacoes Set Avaliador1 = 'Rodrigo Santana Moralez', Avaliador2 = 'Fabricio Romanini Bruschi' where ID = 81;</v>
      </c>
    </row>
    <row r="17" spans="1:11" x14ac:dyDescent="0.25">
      <c r="A17" s="2">
        <v>97</v>
      </c>
      <c r="B17" s="2" t="s">
        <v>274</v>
      </c>
      <c r="C17" s="2" t="s">
        <v>94</v>
      </c>
      <c r="D17" s="2" t="s">
        <v>164</v>
      </c>
      <c r="E17" s="2" t="s">
        <v>309</v>
      </c>
      <c r="F17" s="2" t="s">
        <v>94</v>
      </c>
      <c r="G17" t="b">
        <v>1</v>
      </c>
      <c r="H17" t="s">
        <v>112</v>
      </c>
      <c r="I17" t="b">
        <v>0</v>
      </c>
      <c r="J17" t="s">
        <v>569</v>
      </c>
      <c r="K17" t="str">
        <f t="shared" si="0"/>
        <v>UPDATE QuestRH_Relacoes Set Avaliador1 = 'Thiago Santana de Oliveira', Avaliador2 = 'Evandro Luis Idalgo de Oliveira' where ID = 97;</v>
      </c>
    </row>
    <row r="18" spans="1:11" x14ac:dyDescent="0.25">
      <c r="A18" s="2">
        <v>100</v>
      </c>
      <c r="B18" s="2" t="s">
        <v>31</v>
      </c>
      <c r="C18" s="2" t="s">
        <v>164</v>
      </c>
      <c r="D18" s="2" t="s">
        <v>112</v>
      </c>
      <c r="E18" s="2" t="s">
        <v>309</v>
      </c>
      <c r="F18" s="2" t="s">
        <v>112</v>
      </c>
      <c r="G18" t="b">
        <v>0</v>
      </c>
      <c r="H18" t="s">
        <v>164</v>
      </c>
      <c r="I18" t="b">
        <v>0</v>
      </c>
      <c r="J18" t="s">
        <v>569</v>
      </c>
      <c r="K18" t="str">
        <f t="shared" si="0"/>
        <v>UPDATE QuestRH_Relacoes Set Avaliador1 = 'Evandro Luis Idalgo de Oliveira', Avaliador2 = 'Pierre da Silva Marinho' where ID = 100;</v>
      </c>
    </row>
    <row r="19" spans="1:11" x14ac:dyDescent="0.25">
      <c r="A19" s="2">
        <v>106</v>
      </c>
      <c r="B19" s="2" t="s">
        <v>257</v>
      </c>
      <c r="C19" s="2" t="s">
        <v>24</v>
      </c>
      <c r="D19" s="2" t="s">
        <v>36</v>
      </c>
      <c r="E19" s="2" t="s">
        <v>309</v>
      </c>
      <c r="F19" s="2" t="s">
        <v>36</v>
      </c>
      <c r="G19" t="b">
        <v>0</v>
      </c>
      <c r="H19" t="s">
        <v>24</v>
      </c>
      <c r="I19" t="b">
        <v>0</v>
      </c>
      <c r="J19" t="s">
        <v>569</v>
      </c>
      <c r="K19" t="str">
        <f t="shared" si="0"/>
        <v>UPDATE QuestRH_Relacoes Set Avaliador1 = 'Fabricio Romanini Bruschi', Avaliador2 = 'Rodrigo Santana Moralez' where ID = 106;</v>
      </c>
    </row>
    <row r="20" spans="1:11" x14ac:dyDescent="0.25">
      <c r="A20" s="2">
        <v>130</v>
      </c>
      <c r="B20" s="2" t="s">
        <v>336</v>
      </c>
      <c r="C20" s="2" t="s">
        <v>325</v>
      </c>
      <c r="D20" s="2" t="s">
        <v>164</v>
      </c>
      <c r="E20" s="2" t="s">
        <v>307</v>
      </c>
      <c r="F20" s="2" t="s">
        <v>325</v>
      </c>
      <c r="G20" t="b">
        <v>1</v>
      </c>
      <c r="H20" t="s">
        <v>38</v>
      </c>
      <c r="I20" t="b">
        <v>0</v>
      </c>
      <c r="J20" t="s">
        <v>569</v>
      </c>
      <c r="K20" t="str">
        <f t="shared" si="0"/>
        <v>UPDATE QuestRH_Relacoes Set Avaliador1 = 'Bruno Pulino Lustosa', Avaliador2 = 'Augusto Cesar Eloi de Freitas' where ID = 130;</v>
      </c>
    </row>
    <row r="21" spans="1:11" x14ac:dyDescent="0.25">
      <c r="A21" s="2">
        <v>139</v>
      </c>
      <c r="B21" s="2" t="s">
        <v>345</v>
      </c>
      <c r="C21" s="2" t="s">
        <v>209</v>
      </c>
      <c r="D21" s="2" t="s">
        <v>164</v>
      </c>
      <c r="E21" s="2" t="s">
        <v>307</v>
      </c>
      <c r="F21" s="2" t="s">
        <v>161</v>
      </c>
      <c r="G21" t="b">
        <v>0</v>
      </c>
      <c r="H21" t="s">
        <v>209</v>
      </c>
      <c r="I21" t="b">
        <v>0</v>
      </c>
      <c r="J21" t="s">
        <v>569</v>
      </c>
      <c r="K21" t="str">
        <f t="shared" si="0"/>
        <v>UPDATE QuestRH_Relacoes Set Avaliador1 = 'Gabriela Caixeta Lima', Avaliador2 = 'Joaquim Pinto de Souza' where ID = 139;</v>
      </c>
    </row>
    <row r="22" spans="1:11" x14ac:dyDescent="0.25">
      <c r="A22">
        <v>115</v>
      </c>
      <c r="B22" t="s">
        <v>285</v>
      </c>
      <c r="C22" t="s">
        <v>52</v>
      </c>
      <c r="D22" t="s">
        <v>291</v>
      </c>
      <c r="E22" t="s">
        <v>309</v>
      </c>
      <c r="F22" t="s">
        <v>52</v>
      </c>
      <c r="G22" t="b">
        <f>C22=F22</f>
        <v>1</v>
      </c>
      <c r="H22" t="s">
        <v>77</v>
      </c>
      <c r="I22" t="b">
        <f>B22=F22</f>
        <v>0</v>
      </c>
      <c r="J22" t="s">
        <v>569</v>
      </c>
      <c r="K22" t="str">
        <f t="shared" si="0"/>
        <v>UPDATE QuestRH_Relacoes Set Avaliador1 = 'Maria Thais Moreira Alves', Avaliador2 = 'Weslley Chaves da Costa' where ID = 115;</v>
      </c>
    </row>
    <row r="23" spans="1:11" x14ac:dyDescent="0.25">
      <c r="A23">
        <v>70</v>
      </c>
      <c r="B23" t="s">
        <v>222</v>
      </c>
      <c r="C23" t="s">
        <v>291</v>
      </c>
      <c r="D23" t="s">
        <v>15</v>
      </c>
      <c r="E23" t="s">
        <v>309</v>
      </c>
      <c r="F23" t="s">
        <v>15</v>
      </c>
      <c r="G23" t="b">
        <f t="shared" ref="G23:G24" si="1">C23=F23</f>
        <v>0</v>
      </c>
      <c r="H23" t="s">
        <v>71</v>
      </c>
      <c r="I23" t="b">
        <f t="shared" ref="I23:I24" si="2">B23=F23</f>
        <v>0</v>
      </c>
      <c r="J23" t="s">
        <v>569</v>
      </c>
      <c r="K23" t="str">
        <f t="shared" si="0"/>
        <v>UPDATE QuestRH_Relacoes Set Avaliador1 = 'Welton Leandro Saldanha Martins', Avaliador2 = 'Wilson Tassinari Fernandes' where ID = 70;</v>
      </c>
    </row>
    <row r="24" spans="1:11" x14ac:dyDescent="0.25">
      <c r="A24">
        <v>98</v>
      </c>
      <c r="B24" t="s">
        <v>94</v>
      </c>
      <c r="C24" t="s">
        <v>112</v>
      </c>
      <c r="D24" t="s">
        <v>291</v>
      </c>
      <c r="E24" t="s">
        <v>309</v>
      </c>
      <c r="F24" t="s">
        <v>112</v>
      </c>
      <c r="G24" t="b">
        <f t="shared" si="1"/>
        <v>1</v>
      </c>
      <c r="H24" t="s">
        <v>164</v>
      </c>
      <c r="I24" t="b">
        <f t="shared" si="2"/>
        <v>0</v>
      </c>
      <c r="J24" t="s">
        <v>569</v>
      </c>
      <c r="K24" t="str">
        <f t="shared" si="0"/>
        <v>UPDATE QuestRH_Relacoes Set Avaliador1 = 'Evandro Luis Idalgo de Oliveira', Avaliador2 = 'Pierre da Silva Marinho' where ID = 98;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26D6-E6C8-419A-9A13-E87AFC61FED8}">
  <sheetPr filterMode="1"/>
  <dimension ref="A1:I154"/>
  <sheetViews>
    <sheetView workbookViewId="0">
      <selection activeCell="G185" sqref="G185"/>
    </sheetView>
  </sheetViews>
  <sheetFormatPr defaultRowHeight="15" x14ac:dyDescent="0.25"/>
  <sheetData>
    <row r="1" spans="1:9" x14ac:dyDescent="0.25">
      <c r="A1" s="2" t="s">
        <v>71</v>
      </c>
      <c r="B1" s="2" t="s">
        <v>290</v>
      </c>
      <c r="C1" s="2">
        <v>101004</v>
      </c>
      <c r="D1" s="2" t="s">
        <v>437</v>
      </c>
      <c r="E1" s="2" t="s">
        <v>438</v>
      </c>
      <c r="F1" s="2"/>
      <c r="G1" s="2"/>
      <c r="H1" s="2" t="s">
        <v>116</v>
      </c>
      <c r="I1" s="2" t="s">
        <v>734</v>
      </c>
    </row>
    <row r="2" spans="1:9" hidden="1" x14ac:dyDescent="0.25">
      <c r="A2" s="2" t="s">
        <v>77</v>
      </c>
      <c r="B2" s="2" t="s">
        <v>289</v>
      </c>
      <c r="C2" s="2">
        <v>101004</v>
      </c>
      <c r="D2" s="2" t="s">
        <v>437</v>
      </c>
      <c r="E2" s="2" t="s">
        <v>438</v>
      </c>
      <c r="F2" s="2"/>
      <c r="G2" s="2"/>
      <c r="H2" s="2" t="s">
        <v>115</v>
      </c>
      <c r="I2" s="2" t="s">
        <v>580</v>
      </c>
    </row>
    <row r="3" spans="1:9" hidden="1" x14ac:dyDescent="0.25">
      <c r="A3" s="2" t="s">
        <v>257</v>
      </c>
      <c r="B3" s="2" t="s">
        <v>288</v>
      </c>
      <c r="C3" s="2">
        <v>102003</v>
      </c>
      <c r="D3" s="2" t="s">
        <v>439</v>
      </c>
      <c r="E3" s="2" t="s">
        <v>438</v>
      </c>
      <c r="F3" s="2"/>
      <c r="G3" s="2"/>
      <c r="H3" s="2" t="s">
        <v>259</v>
      </c>
      <c r="I3" s="2" t="s">
        <v>581</v>
      </c>
    </row>
    <row r="4" spans="1:9" hidden="1" x14ac:dyDescent="0.25">
      <c r="A4" s="2" t="s">
        <v>15</v>
      </c>
      <c r="B4" s="2" t="s">
        <v>287</v>
      </c>
      <c r="C4" s="2">
        <v>101004</v>
      </c>
      <c r="D4" s="2" t="s">
        <v>437</v>
      </c>
      <c r="E4" s="2" t="s">
        <v>438</v>
      </c>
      <c r="F4" s="2"/>
      <c r="G4" s="2"/>
      <c r="H4" s="2" t="s">
        <v>114</v>
      </c>
      <c r="I4" s="2" t="s">
        <v>582</v>
      </c>
    </row>
    <row r="5" spans="1:9" hidden="1" x14ac:dyDescent="0.25">
      <c r="A5" s="2" t="s">
        <v>272</v>
      </c>
      <c r="B5" s="2" t="s">
        <v>286</v>
      </c>
      <c r="C5" s="2">
        <v>103014</v>
      </c>
      <c r="D5" s="2" t="s">
        <v>440</v>
      </c>
      <c r="E5" s="2" t="s">
        <v>441</v>
      </c>
      <c r="F5" s="2"/>
      <c r="G5" s="2"/>
      <c r="H5" s="2" t="s">
        <v>273</v>
      </c>
      <c r="I5" s="2" t="s">
        <v>583</v>
      </c>
    </row>
    <row r="6" spans="1:9" hidden="1" x14ac:dyDescent="0.25">
      <c r="A6" s="2" t="s">
        <v>291</v>
      </c>
      <c r="B6" s="2" t="s">
        <v>292</v>
      </c>
      <c r="C6" s="2">
        <v>101011</v>
      </c>
      <c r="D6" s="2" t="s">
        <v>437</v>
      </c>
      <c r="E6" s="2" t="s">
        <v>438</v>
      </c>
      <c r="F6" s="2"/>
      <c r="G6" s="2"/>
      <c r="H6" s="2" t="s">
        <v>304</v>
      </c>
      <c r="I6" s="2" t="s">
        <v>584</v>
      </c>
    </row>
    <row r="7" spans="1:9" hidden="1" x14ac:dyDescent="0.25">
      <c r="A7" s="2" t="s">
        <v>266</v>
      </c>
      <c r="B7" s="2" t="s">
        <v>284</v>
      </c>
      <c r="C7" s="2">
        <v>103015</v>
      </c>
      <c r="D7" s="2" t="s">
        <v>442</v>
      </c>
      <c r="E7" s="2" t="s">
        <v>438</v>
      </c>
      <c r="F7" s="2"/>
      <c r="G7" s="2"/>
      <c r="H7" s="2" t="s">
        <v>267</v>
      </c>
      <c r="I7" s="2" t="s">
        <v>585</v>
      </c>
    </row>
    <row r="8" spans="1:9" hidden="1" x14ac:dyDescent="0.25">
      <c r="A8" s="2" t="s">
        <v>31</v>
      </c>
      <c r="B8" s="2" t="s">
        <v>280</v>
      </c>
      <c r="C8" s="2">
        <v>101001</v>
      </c>
      <c r="D8" s="2" t="s">
        <v>439</v>
      </c>
      <c r="E8" s="2" t="s">
        <v>438</v>
      </c>
      <c r="F8" s="2"/>
      <c r="G8" s="2"/>
      <c r="H8" s="2" t="s">
        <v>249</v>
      </c>
      <c r="I8" s="2" t="s">
        <v>586</v>
      </c>
    </row>
    <row r="9" spans="1:9" hidden="1" x14ac:dyDescent="0.25">
      <c r="A9" s="2" t="s">
        <v>277</v>
      </c>
      <c r="B9" s="2" t="s">
        <v>278</v>
      </c>
      <c r="C9" s="2">
        <v>50000996</v>
      </c>
      <c r="D9" s="2" t="s">
        <v>443</v>
      </c>
      <c r="E9" s="2" t="s">
        <v>441</v>
      </c>
      <c r="F9" s="2"/>
      <c r="G9" s="2"/>
      <c r="H9" s="2" t="s">
        <v>279</v>
      </c>
      <c r="I9" s="2" t="s">
        <v>587</v>
      </c>
    </row>
    <row r="10" spans="1:9" x14ac:dyDescent="0.25">
      <c r="A10" s="2" t="s">
        <v>94</v>
      </c>
      <c r="B10" s="2" t="s">
        <v>271</v>
      </c>
      <c r="C10" s="2">
        <v>103014</v>
      </c>
      <c r="D10" s="2" t="s">
        <v>437</v>
      </c>
      <c r="E10" s="2" t="s">
        <v>438</v>
      </c>
      <c r="F10" s="2"/>
      <c r="G10" s="2"/>
      <c r="H10" s="2" t="s">
        <v>119</v>
      </c>
      <c r="I10" s="2" t="s">
        <v>588</v>
      </c>
    </row>
    <row r="11" spans="1:9" hidden="1" x14ac:dyDescent="0.25">
      <c r="A11" s="2" t="s">
        <v>268</v>
      </c>
      <c r="B11" s="2" t="s">
        <v>269</v>
      </c>
      <c r="C11" s="2">
        <v>101001</v>
      </c>
      <c r="D11" s="2" t="s">
        <v>444</v>
      </c>
      <c r="E11" s="2" t="s">
        <v>438</v>
      </c>
      <c r="F11" s="2"/>
      <c r="G11" s="2"/>
      <c r="H11" s="2" t="s">
        <v>270</v>
      </c>
      <c r="I11" s="2" t="s">
        <v>589</v>
      </c>
    </row>
    <row r="12" spans="1:9" hidden="1" x14ac:dyDescent="0.25">
      <c r="A12" s="2" t="s">
        <v>52</v>
      </c>
      <c r="B12" s="2" t="s">
        <v>264</v>
      </c>
      <c r="C12" s="2">
        <v>101004</v>
      </c>
      <c r="D12" s="2" t="s">
        <v>439</v>
      </c>
      <c r="E12" s="2" t="s">
        <v>438</v>
      </c>
      <c r="F12" s="2"/>
      <c r="G12" s="2"/>
      <c r="H12" s="2" t="s">
        <v>265</v>
      </c>
      <c r="I12" s="2" t="s">
        <v>590</v>
      </c>
    </row>
    <row r="13" spans="1:9" hidden="1" x14ac:dyDescent="0.25">
      <c r="A13" s="2" t="s">
        <v>220</v>
      </c>
      <c r="B13" s="2" t="s">
        <v>263</v>
      </c>
      <c r="C13" s="2">
        <v>103009</v>
      </c>
      <c r="D13" s="2" t="s">
        <v>445</v>
      </c>
      <c r="E13" s="2" t="s">
        <v>438</v>
      </c>
      <c r="F13" s="2"/>
      <c r="G13" s="2"/>
      <c r="H13" s="2" t="s">
        <v>221</v>
      </c>
      <c r="I13" s="2" t="s">
        <v>591</v>
      </c>
    </row>
    <row r="14" spans="1:9" hidden="1" x14ac:dyDescent="0.25">
      <c r="A14" s="2" t="s">
        <v>260</v>
      </c>
      <c r="B14" s="2" t="s">
        <v>261</v>
      </c>
      <c r="C14" s="2">
        <v>50000118</v>
      </c>
      <c r="D14" s="2" t="s">
        <v>446</v>
      </c>
      <c r="E14" s="2" t="s">
        <v>441</v>
      </c>
      <c r="F14" s="2"/>
      <c r="G14" s="2"/>
      <c r="H14" s="2" t="s">
        <v>262</v>
      </c>
      <c r="I14" s="2" t="s">
        <v>592</v>
      </c>
    </row>
    <row r="15" spans="1:9" hidden="1" x14ac:dyDescent="0.25">
      <c r="A15" s="2" t="s">
        <v>24</v>
      </c>
      <c r="B15" s="2" t="s">
        <v>258</v>
      </c>
      <c r="C15" s="2">
        <v>101005</v>
      </c>
      <c r="D15" s="2" t="s">
        <v>437</v>
      </c>
      <c r="E15" s="2" t="s">
        <v>438</v>
      </c>
      <c r="F15" s="2"/>
      <c r="G15" s="2"/>
      <c r="H15" s="2" t="s">
        <v>299</v>
      </c>
      <c r="I15" s="2" t="s">
        <v>593</v>
      </c>
    </row>
    <row r="16" spans="1:9" hidden="1" x14ac:dyDescent="0.25">
      <c r="A16" s="2" t="s">
        <v>254</v>
      </c>
      <c r="B16" s="2" t="s">
        <v>255</v>
      </c>
      <c r="C16" s="2">
        <v>50000989</v>
      </c>
      <c r="D16" s="2" t="s">
        <v>447</v>
      </c>
      <c r="E16" s="2" t="s">
        <v>441</v>
      </c>
      <c r="F16" s="2"/>
      <c r="G16" s="2"/>
      <c r="H16" s="2" t="s">
        <v>256</v>
      </c>
      <c r="I16" s="2" t="s">
        <v>594</v>
      </c>
    </row>
    <row r="17" spans="1:9" hidden="1" x14ac:dyDescent="0.25">
      <c r="A17" s="2" t="s">
        <v>155</v>
      </c>
      <c r="B17" s="2" t="s">
        <v>250</v>
      </c>
      <c r="C17" s="2">
        <v>102002</v>
      </c>
      <c r="D17" s="2" t="s">
        <v>448</v>
      </c>
      <c r="E17" s="2" t="s">
        <v>438</v>
      </c>
      <c r="F17" s="2"/>
      <c r="G17" s="2"/>
      <c r="H17" s="2" t="s">
        <v>156</v>
      </c>
      <c r="I17" s="2" t="s">
        <v>595</v>
      </c>
    </row>
    <row r="18" spans="1:9" hidden="1" x14ac:dyDescent="0.25">
      <c r="A18" s="2" t="s">
        <v>164</v>
      </c>
      <c r="B18" s="2" t="s">
        <v>248</v>
      </c>
      <c r="C18" s="2">
        <v>103002</v>
      </c>
      <c r="D18" s="2" t="s">
        <v>449</v>
      </c>
      <c r="E18" s="2" t="s">
        <v>441</v>
      </c>
      <c r="F18" s="2"/>
      <c r="G18" s="2"/>
      <c r="H18" s="2" t="s">
        <v>302</v>
      </c>
      <c r="I18" s="2" t="s">
        <v>596</v>
      </c>
    </row>
    <row r="19" spans="1:9" hidden="1" x14ac:dyDescent="0.25">
      <c r="A19" s="2" t="s">
        <v>245</v>
      </c>
      <c r="B19" s="2" t="s">
        <v>246</v>
      </c>
      <c r="C19" s="2">
        <v>101001</v>
      </c>
      <c r="D19" s="2" t="s">
        <v>450</v>
      </c>
      <c r="E19" s="2" t="s">
        <v>438</v>
      </c>
      <c r="F19" s="2"/>
      <c r="G19" s="2"/>
      <c r="H19" s="2" t="s">
        <v>247</v>
      </c>
      <c r="I19" s="2" t="s">
        <v>597</v>
      </c>
    </row>
    <row r="20" spans="1:9" hidden="1" x14ac:dyDescent="0.25">
      <c r="A20" s="2" t="s">
        <v>167</v>
      </c>
      <c r="B20" s="2" t="s">
        <v>244</v>
      </c>
      <c r="C20" s="2">
        <v>101014</v>
      </c>
      <c r="D20" s="2" t="s">
        <v>451</v>
      </c>
      <c r="E20" s="2" t="s">
        <v>438</v>
      </c>
      <c r="F20" s="2"/>
      <c r="G20" s="2"/>
      <c r="H20" s="2" t="s">
        <v>168</v>
      </c>
      <c r="I20" s="2" t="s">
        <v>598</v>
      </c>
    </row>
    <row r="21" spans="1:9" hidden="1" x14ac:dyDescent="0.25">
      <c r="A21" s="2" t="s">
        <v>185</v>
      </c>
      <c r="B21" s="2" t="s">
        <v>243</v>
      </c>
      <c r="C21" s="2">
        <v>50000996</v>
      </c>
      <c r="D21" s="2" t="s">
        <v>452</v>
      </c>
      <c r="E21" s="2" t="s">
        <v>441</v>
      </c>
      <c r="F21" s="2"/>
      <c r="G21" s="2"/>
      <c r="H21" s="2" t="s">
        <v>186</v>
      </c>
      <c r="I21" s="2" t="s">
        <v>599</v>
      </c>
    </row>
    <row r="22" spans="1:9" hidden="1" x14ac:dyDescent="0.25">
      <c r="A22" s="2" t="s">
        <v>240</v>
      </c>
      <c r="B22" s="2" t="s">
        <v>241</v>
      </c>
      <c r="C22" s="2">
        <v>102003</v>
      </c>
      <c r="D22" s="2" t="s">
        <v>453</v>
      </c>
      <c r="E22" s="2" t="s">
        <v>441</v>
      </c>
      <c r="F22" s="2"/>
      <c r="G22" s="2"/>
      <c r="H22" s="2" t="s">
        <v>242</v>
      </c>
      <c r="I22" s="2" t="s">
        <v>600</v>
      </c>
    </row>
    <row r="23" spans="1:9" hidden="1" x14ac:dyDescent="0.25">
      <c r="A23" s="2" t="s">
        <v>234</v>
      </c>
      <c r="B23" s="2" t="s">
        <v>235</v>
      </c>
      <c r="C23" s="2">
        <v>101004</v>
      </c>
      <c r="D23" s="2" t="s">
        <v>454</v>
      </c>
      <c r="E23" s="2" t="s">
        <v>438</v>
      </c>
      <c r="F23" s="2"/>
      <c r="G23" s="2"/>
      <c r="H23" s="2" t="s">
        <v>236</v>
      </c>
      <c r="I23" s="2" t="s">
        <v>601</v>
      </c>
    </row>
    <row r="24" spans="1:9" hidden="1" x14ac:dyDescent="0.25">
      <c r="A24" s="2" t="s">
        <v>53</v>
      </c>
      <c r="B24" s="2"/>
      <c r="C24" s="2">
        <v>50000996</v>
      </c>
      <c r="D24" s="2" t="s">
        <v>455</v>
      </c>
      <c r="E24" s="2" t="s">
        <v>441</v>
      </c>
      <c r="F24" s="2"/>
      <c r="G24" s="2"/>
      <c r="H24" s="2" t="s">
        <v>183</v>
      </c>
      <c r="I24" s="2" t="s">
        <v>602</v>
      </c>
    </row>
    <row r="25" spans="1:9" hidden="1" x14ac:dyDescent="0.25">
      <c r="A25" s="2" t="s">
        <v>230</v>
      </c>
      <c r="B25" s="2" t="s">
        <v>231</v>
      </c>
      <c r="C25" s="2">
        <v>103009</v>
      </c>
      <c r="D25" s="2" t="s">
        <v>439</v>
      </c>
      <c r="E25" s="2" t="s">
        <v>438</v>
      </c>
      <c r="F25" s="2"/>
      <c r="G25" s="2"/>
      <c r="H25" s="2" t="s">
        <v>232</v>
      </c>
      <c r="I25" s="2" t="s">
        <v>603</v>
      </c>
    </row>
    <row r="26" spans="1:9" hidden="1" x14ac:dyDescent="0.25">
      <c r="A26" s="2" t="s">
        <v>227</v>
      </c>
      <c r="B26" s="2" t="s">
        <v>228</v>
      </c>
      <c r="C26" s="2">
        <v>101004</v>
      </c>
      <c r="D26" s="2" t="s">
        <v>456</v>
      </c>
      <c r="E26" s="2" t="s">
        <v>438</v>
      </c>
      <c r="F26" s="2"/>
      <c r="G26" s="2"/>
      <c r="H26" s="2" t="s">
        <v>229</v>
      </c>
      <c r="I26" s="2" t="s">
        <v>604</v>
      </c>
    </row>
    <row r="27" spans="1:9" x14ac:dyDescent="0.25">
      <c r="A27" s="2" t="s">
        <v>222</v>
      </c>
      <c r="B27" s="2" t="s">
        <v>223</v>
      </c>
      <c r="C27" s="2">
        <v>50000103</v>
      </c>
      <c r="D27" s="2" t="s">
        <v>442</v>
      </c>
      <c r="E27" s="2" t="s">
        <v>457</v>
      </c>
      <c r="F27" s="2"/>
      <c r="G27" s="2"/>
      <c r="H27" s="2" t="s">
        <v>224</v>
      </c>
      <c r="I27" s="2" t="s">
        <v>605</v>
      </c>
    </row>
    <row r="28" spans="1:9" hidden="1" x14ac:dyDescent="0.25">
      <c r="A28" s="2" t="s">
        <v>123</v>
      </c>
      <c r="B28" s="2" t="s">
        <v>218</v>
      </c>
      <c r="C28" s="2">
        <v>103009</v>
      </c>
      <c r="D28" s="2" t="s">
        <v>439</v>
      </c>
      <c r="E28" s="2" t="s">
        <v>438</v>
      </c>
      <c r="F28" s="2"/>
      <c r="G28" s="2"/>
      <c r="H28" s="2" t="s">
        <v>219</v>
      </c>
      <c r="I28" s="2" t="s">
        <v>606</v>
      </c>
    </row>
    <row r="29" spans="1:9" hidden="1" x14ac:dyDescent="0.25">
      <c r="A29" s="2" t="s">
        <v>68</v>
      </c>
      <c r="B29" s="2" t="s">
        <v>217</v>
      </c>
      <c r="C29" s="2">
        <v>50000993</v>
      </c>
      <c r="D29" s="2" t="s">
        <v>458</v>
      </c>
      <c r="E29" s="2" t="s">
        <v>441</v>
      </c>
      <c r="F29" s="2"/>
      <c r="G29" s="2"/>
      <c r="H29" s="2" t="s">
        <v>69</v>
      </c>
      <c r="I29" s="2" t="s">
        <v>607</v>
      </c>
    </row>
    <row r="30" spans="1:9" hidden="1" x14ac:dyDescent="0.25">
      <c r="A30" s="2" t="s">
        <v>65</v>
      </c>
      <c r="B30" s="2" t="s">
        <v>216</v>
      </c>
      <c r="C30" s="2">
        <v>50000993</v>
      </c>
      <c r="D30" s="2" t="s">
        <v>459</v>
      </c>
      <c r="E30" s="2" t="s">
        <v>441</v>
      </c>
      <c r="F30" s="2"/>
      <c r="G30" s="2"/>
      <c r="H30" s="2" t="s">
        <v>66</v>
      </c>
      <c r="I30" s="2" t="s">
        <v>608</v>
      </c>
    </row>
    <row r="31" spans="1:9" hidden="1" x14ac:dyDescent="0.25">
      <c r="A31" s="2" t="s">
        <v>212</v>
      </c>
      <c r="B31" s="2" t="s">
        <v>215</v>
      </c>
      <c r="C31" s="2">
        <v>103002</v>
      </c>
      <c r="D31" s="2" t="s">
        <v>460</v>
      </c>
      <c r="E31" s="2" t="s">
        <v>438</v>
      </c>
      <c r="F31" s="2"/>
      <c r="G31" s="2"/>
      <c r="H31" s="2" t="s">
        <v>213</v>
      </c>
      <c r="I31" s="2" t="s">
        <v>609</v>
      </c>
    </row>
    <row r="32" spans="1:9" hidden="1" x14ac:dyDescent="0.25">
      <c r="A32" s="2" t="s">
        <v>99</v>
      </c>
      <c r="B32" s="2" t="s">
        <v>214</v>
      </c>
      <c r="C32" s="2">
        <v>50000981</v>
      </c>
      <c r="D32" s="2" t="s">
        <v>461</v>
      </c>
      <c r="E32" s="2" t="s">
        <v>441</v>
      </c>
      <c r="F32" s="2"/>
      <c r="G32" s="2"/>
      <c r="H32" s="2" t="s">
        <v>100</v>
      </c>
      <c r="I32" s="2" t="s">
        <v>610</v>
      </c>
    </row>
    <row r="33" spans="1:9" hidden="1" x14ac:dyDescent="0.25">
      <c r="A33" s="2" t="s">
        <v>209</v>
      </c>
      <c r="B33" s="2" t="s">
        <v>210</v>
      </c>
      <c r="C33" s="2">
        <v>103002</v>
      </c>
      <c r="D33" s="2" t="s">
        <v>439</v>
      </c>
      <c r="E33" s="2" t="s">
        <v>438</v>
      </c>
      <c r="F33" s="2"/>
      <c r="G33" s="2"/>
      <c r="H33" s="2" t="s">
        <v>211</v>
      </c>
      <c r="I33" s="2" t="s">
        <v>611</v>
      </c>
    </row>
    <row r="34" spans="1:9" hidden="1" x14ac:dyDescent="0.25">
      <c r="A34" s="2" t="s">
        <v>67</v>
      </c>
      <c r="B34" s="2" t="s">
        <v>207</v>
      </c>
      <c r="C34" s="2">
        <v>50000121</v>
      </c>
      <c r="D34" s="2" t="s">
        <v>462</v>
      </c>
      <c r="E34" s="2" t="s">
        <v>441</v>
      </c>
      <c r="F34" s="2"/>
      <c r="G34" s="2"/>
      <c r="H34" s="2" t="s">
        <v>296</v>
      </c>
      <c r="I34" s="2" t="s">
        <v>666</v>
      </c>
    </row>
    <row r="35" spans="1:9" hidden="1" x14ac:dyDescent="0.25">
      <c r="A35" s="2" t="s">
        <v>23</v>
      </c>
      <c r="B35" s="2" t="s">
        <v>200</v>
      </c>
      <c r="C35" s="2">
        <v>50000955</v>
      </c>
      <c r="D35" s="2" t="s">
        <v>463</v>
      </c>
      <c r="E35" s="2" t="s">
        <v>441</v>
      </c>
      <c r="F35" s="2"/>
      <c r="G35" s="2"/>
      <c r="H35" s="2" t="s">
        <v>201</v>
      </c>
      <c r="I35" s="2" t="s">
        <v>613</v>
      </c>
    </row>
    <row r="36" spans="1:9" hidden="1" x14ac:dyDescent="0.25">
      <c r="A36" s="2" t="s">
        <v>196</v>
      </c>
      <c r="B36" s="2" t="s">
        <v>197</v>
      </c>
      <c r="C36" s="2">
        <v>50000118</v>
      </c>
      <c r="D36" s="2" t="s">
        <v>446</v>
      </c>
      <c r="E36" s="2" t="s">
        <v>441</v>
      </c>
      <c r="F36" s="2"/>
      <c r="G36" s="2"/>
      <c r="H36" s="2" t="s">
        <v>198</v>
      </c>
      <c r="I36" s="2" t="s">
        <v>614</v>
      </c>
    </row>
    <row r="37" spans="1:9" hidden="1" x14ac:dyDescent="0.25">
      <c r="A37" s="2" t="s">
        <v>8</v>
      </c>
      <c r="B37" s="2" t="s">
        <v>173</v>
      </c>
      <c r="C37" s="2">
        <v>50000996</v>
      </c>
      <c r="D37" s="2" t="s">
        <v>463</v>
      </c>
      <c r="E37" s="2" t="s">
        <v>441</v>
      </c>
      <c r="F37" s="2"/>
      <c r="G37" s="2"/>
      <c r="H37" s="2" t="s">
        <v>174</v>
      </c>
      <c r="I37" s="2" t="s">
        <v>615</v>
      </c>
    </row>
    <row r="38" spans="1:9" hidden="1" x14ac:dyDescent="0.25">
      <c r="A38" s="2" t="s">
        <v>63</v>
      </c>
      <c r="B38" s="2" t="s">
        <v>172</v>
      </c>
      <c r="C38" s="2">
        <v>50000995</v>
      </c>
      <c r="D38" s="2" t="s">
        <v>443</v>
      </c>
      <c r="E38" s="2" t="s">
        <v>441</v>
      </c>
      <c r="F38" s="2"/>
      <c r="G38" s="2"/>
      <c r="H38" s="2" t="s">
        <v>64</v>
      </c>
      <c r="I38" s="2" t="s">
        <v>616</v>
      </c>
    </row>
    <row r="39" spans="1:9" hidden="1" x14ac:dyDescent="0.25">
      <c r="A39" s="2" t="s">
        <v>117</v>
      </c>
      <c r="B39" s="2" t="s">
        <v>166</v>
      </c>
      <c r="C39" s="2">
        <v>101014</v>
      </c>
      <c r="D39" s="2" t="s">
        <v>439</v>
      </c>
      <c r="E39" s="2" t="s">
        <v>438</v>
      </c>
      <c r="F39" s="2"/>
      <c r="G39" s="2"/>
      <c r="H39" s="2" t="s">
        <v>118</v>
      </c>
      <c r="I39" s="2" t="s">
        <v>617</v>
      </c>
    </row>
    <row r="40" spans="1:9" hidden="1" x14ac:dyDescent="0.25">
      <c r="A40" s="2" t="s">
        <v>159</v>
      </c>
      <c r="B40" s="2" t="s">
        <v>165</v>
      </c>
      <c r="C40" s="2">
        <v>101005</v>
      </c>
      <c r="D40" s="2" t="s">
        <v>454</v>
      </c>
      <c r="E40" s="2" t="s">
        <v>438</v>
      </c>
      <c r="F40" s="2"/>
      <c r="G40" s="2"/>
      <c r="H40" s="2" t="s">
        <v>160</v>
      </c>
      <c r="I40" s="2" t="s">
        <v>618</v>
      </c>
    </row>
    <row r="41" spans="1:9" hidden="1" x14ac:dyDescent="0.25">
      <c r="A41" s="2" t="s">
        <v>161</v>
      </c>
      <c r="B41" s="2" t="s">
        <v>162</v>
      </c>
      <c r="C41" s="2">
        <v>103002</v>
      </c>
      <c r="D41" s="2" t="s">
        <v>464</v>
      </c>
      <c r="E41" s="2" t="s">
        <v>438</v>
      </c>
      <c r="F41" s="2"/>
      <c r="G41" s="2"/>
      <c r="H41" s="2" t="s">
        <v>163</v>
      </c>
      <c r="I41" s="2" t="s">
        <v>619</v>
      </c>
    </row>
    <row r="42" spans="1:9" hidden="1" x14ac:dyDescent="0.25">
      <c r="A42" s="2" t="s">
        <v>147</v>
      </c>
      <c r="B42" s="2" t="s">
        <v>157</v>
      </c>
      <c r="C42" s="2">
        <v>102003</v>
      </c>
      <c r="D42" s="2" t="s">
        <v>439</v>
      </c>
      <c r="E42" s="2" t="s">
        <v>438</v>
      </c>
      <c r="F42" s="2"/>
      <c r="G42" s="2"/>
      <c r="H42" s="2" t="s">
        <v>158</v>
      </c>
      <c r="I42" s="2" t="s">
        <v>620</v>
      </c>
    </row>
    <row r="43" spans="1:9" hidden="1" x14ac:dyDescent="0.25">
      <c r="A43" s="2" t="s">
        <v>36</v>
      </c>
      <c r="B43" s="2" t="s">
        <v>154</v>
      </c>
      <c r="C43" s="2">
        <v>102003</v>
      </c>
      <c r="D43" s="2" t="s">
        <v>448</v>
      </c>
      <c r="E43" s="2" t="s">
        <v>441</v>
      </c>
      <c r="F43" s="2"/>
      <c r="G43" s="2"/>
      <c r="H43" s="2" t="s">
        <v>301</v>
      </c>
      <c r="I43" s="2" t="s">
        <v>621</v>
      </c>
    </row>
    <row r="44" spans="1:9" hidden="1" x14ac:dyDescent="0.25">
      <c r="A44" s="2" t="s">
        <v>151</v>
      </c>
      <c r="B44" s="2" t="s">
        <v>152</v>
      </c>
      <c r="C44" s="2">
        <v>102002</v>
      </c>
      <c r="D44" s="2" t="s">
        <v>439</v>
      </c>
      <c r="E44" s="2" t="s">
        <v>438</v>
      </c>
      <c r="F44" s="2"/>
      <c r="G44" s="2"/>
      <c r="H44" s="2" t="s">
        <v>153</v>
      </c>
      <c r="I44" s="2" t="s">
        <v>622</v>
      </c>
    </row>
    <row r="45" spans="1:9" hidden="1" x14ac:dyDescent="0.25">
      <c r="A45" s="2" t="s">
        <v>126</v>
      </c>
      <c r="B45" s="2" t="s">
        <v>430</v>
      </c>
      <c r="C45" s="2">
        <v>50000990</v>
      </c>
      <c r="D45" s="2" t="s">
        <v>465</v>
      </c>
      <c r="E45" s="2" t="s">
        <v>441</v>
      </c>
      <c r="F45" s="2"/>
      <c r="G45" s="2"/>
      <c r="H45" s="2" t="s">
        <v>127</v>
      </c>
      <c r="I45" s="2" t="s">
        <v>623</v>
      </c>
    </row>
    <row r="46" spans="1:9" hidden="1" x14ac:dyDescent="0.25">
      <c r="A46" s="2" t="s">
        <v>18</v>
      </c>
      <c r="B46" s="2" t="s">
        <v>138</v>
      </c>
      <c r="C46" s="2">
        <v>50000974</v>
      </c>
      <c r="D46" s="2" t="s">
        <v>466</v>
      </c>
      <c r="E46" s="2" t="s">
        <v>441</v>
      </c>
      <c r="F46" s="2"/>
      <c r="G46" s="2"/>
      <c r="H46" s="2" t="s">
        <v>139</v>
      </c>
      <c r="I46" s="2" t="s">
        <v>624</v>
      </c>
    </row>
    <row r="47" spans="1:9" hidden="1" x14ac:dyDescent="0.25">
      <c r="A47" s="2" t="s">
        <v>10</v>
      </c>
      <c r="B47" s="2" t="s">
        <v>124</v>
      </c>
      <c r="C47" s="2">
        <v>50000990</v>
      </c>
      <c r="D47" s="2" t="s">
        <v>463</v>
      </c>
      <c r="E47" s="2" t="s">
        <v>441</v>
      </c>
      <c r="F47" s="2"/>
      <c r="G47" s="2"/>
      <c r="H47" s="2" t="s">
        <v>125</v>
      </c>
      <c r="I47" s="2" t="s">
        <v>625</v>
      </c>
    </row>
    <row r="48" spans="1:9" hidden="1" x14ac:dyDescent="0.25">
      <c r="A48" s="2" t="s">
        <v>112</v>
      </c>
      <c r="B48" s="2" t="s">
        <v>113</v>
      </c>
      <c r="C48" s="2">
        <v>101011</v>
      </c>
      <c r="D48" s="2" t="s">
        <v>437</v>
      </c>
      <c r="E48" s="2" t="s">
        <v>438</v>
      </c>
      <c r="F48" s="2"/>
      <c r="G48" s="2"/>
      <c r="H48" s="2" t="s">
        <v>298</v>
      </c>
      <c r="I48" s="2" t="s">
        <v>626</v>
      </c>
    </row>
    <row r="49" spans="1:9" hidden="1" x14ac:dyDescent="0.25">
      <c r="A49" s="2" t="s">
        <v>109</v>
      </c>
      <c r="B49" s="2" t="s">
        <v>110</v>
      </c>
      <c r="C49" s="2">
        <v>50000996</v>
      </c>
      <c r="D49" s="2" t="s">
        <v>458</v>
      </c>
      <c r="E49" s="2" t="s">
        <v>441</v>
      </c>
      <c r="F49" s="2"/>
      <c r="G49" s="2"/>
      <c r="H49" s="2" t="s">
        <v>111</v>
      </c>
      <c r="I49" s="2" t="s">
        <v>627</v>
      </c>
    </row>
    <row r="50" spans="1:9" hidden="1" x14ac:dyDescent="0.25">
      <c r="A50" s="2" t="s">
        <v>14</v>
      </c>
      <c r="B50" s="2" t="s">
        <v>106</v>
      </c>
      <c r="C50" s="2">
        <v>50000995</v>
      </c>
      <c r="D50" s="2" t="s">
        <v>443</v>
      </c>
      <c r="E50" s="2" t="s">
        <v>441</v>
      </c>
      <c r="F50" s="2"/>
      <c r="G50" s="2"/>
      <c r="H50" s="2" t="s">
        <v>107</v>
      </c>
      <c r="I50" s="2" t="s">
        <v>628</v>
      </c>
    </row>
    <row r="51" spans="1:9" hidden="1" x14ac:dyDescent="0.25">
      <c r="A51" s="2" t="s">
        <v>37</v>
      </c>
      <c r="B51" s="2" t="s">
        <v>95</v>
      </c>
      <c r="C51" s="2">
        <v>50000981</v>
      </c>
      <c r="D51" s="2" t="s">
        <v>447</v>
      </c>
      <c r="E51" s="2" t="s">
        <v>441</v>
      </c>
      <c r="F51" s="2"/>
      <c r="G51" s="2"/>
      <c r="H51" s="2" t="s">
        <v>96</v>
      </c>
      <c r="I51" s="2" t="s">
        <v>629</v>
      </c>
    </row>
    <row r="52" spans="1:9" hidden="1" x14ac:dyDescent="0.25">
      <c r="A52" s="2" t="s">
        <v>91</v>
      </c>
      <c r="B52" s="2" t="s">
        <v>92</v>
      </c>
      <c r="C52" s="2">
        <v>50000111</v>
      </c>
      <c r="D52" s="2" t="s">
        <v>467</v>
      </c>
      <c r="E52" s="2" t="s">
        <v>438</v>
      </c>
      <c r="F52" s="2"/>
      <c r="G52" s="2"/>
      <c r="H52" s="2" t="s">
        <v>93</v>
      </c>
      <c r="I52" s="2" t="s">
        <v>630</v>
      </c>
    </row>
    <row r="53" spans="1:9" hidden="1" x14ac:dyDescent="0.25">
      <c r="A53" s="2" t="s">
        <v>79</v>
      </c>
      <c r="B53" s="2" t="s">
        <v>80</v>
      </c>
      <c r="C53" s="2">
        <v>50000955</v>
      </c>
      <c r="D53" s="2" t="s">
        <v>468</v>
      </c>
      <c r="E53" s="2" t="s">
        <v>441</v>
      </c>
      <c r="F53" s="2"/>
      <c r="G53" s="2"/>
      <c r="H53" s="2" t="s">
        <v>81</v>
      </c>
      <c r="I53" s="2" t="s">
        <v>631</v>
      </c>
    </row>
    <row r="54" spans="1:9" hidden="1" x14ac:dyDescent="0.25">
      <c r="A54" s="2" t="s">
        <v>73</v>
      </c>
      <c r="B54" s="2" t="s">
        <v>74</v>
      </c>
      <c r="C54" s="2">
        <v>50000996</v>
      </c>
      <c r="D54" s="2" t="s">
        <v>468</v>
      </c>
      <c r="E54" s="2" t="s">
        <v>441</v>
      </c>
      <c r="F54" s="2"/>
      <c r="G54" s="2"/>
      <c r="H54" s="2" t="s">
        <v>75</v>
      </c>
      <c r="I54" s="2" t="s">
        <v>632</v>
      </c>
    </row>
    <row r="55" spans="1:9" hidden="1" x14ac:dyDescent="0.25">
      <c r="A55" s="2" t="s">
        <v>59</v>
      </c>
      <c r="B55" s="2" t="s">
        <v>60</v>
      </c>
      <c r="C55" s="2">
        <v>50000993</v>
      </c>
      <c r="D55" s="2" t="s">
        <v>463</v>
      </c>
      <c r="E55" s="2" t="s">
        <v>441</v>
      </c>
      <c r="F55" s="2"/>
      <c r="G55" s="2"/>
      <c r="H55" s="2" t="s">
        <v>61</v>
      </c>
      <c r="I55" s="2" t="s">
        <v>633</v>
      </c>
    </row>
    <row r="56" spans="1:9" hidden="1" x14ac:dyDescent="0.25">
      <c r="A56" s="2" t="s">
        <v>54</v>
      </c>
      <c r="B56" s="2" t="s">
        <v>55</v>
      </c>
      <c r="C56" s="2">
        <v>50000981</v>
      </c>
      <c r="D56" s="2" t="s">
        <v>447</v>
      </c>
      <c r="E56" s="2" t="s">
        <v>441</v>
      </c>
      <c r="F56" s="2"/>
      <c r="G56" s="2"/>
      <c r="H56" s="2" t="s">
        <v>56</v>
      </c>
      <c r="I56" s="2" t="s">
        <v>634</v>
      </c>
    </row>
    <row r="57" spans="1:9" hidden="1" x14ac:dyDescent="0.25">
      <c r="A57" s="2" t="s">
        <v>48</v>
      </c>
      <c r="B57" s="2" t="s">
        <v>49</v>
      </c>
      <c r="C57" s="2">
        <v>50000955</v>
      </c>
      <c r="D57" s="2" t="s">
        <v>452</v>
      </c>
      <c r="E57" s="2" t="s">
        <v>441</v>
      </c>
      <c r="F57" s="2"/>
      <c r="G57" s="2"/>
      <c r="H57" s="2" t="s">
        <v>50</v>
      </c>
      <c r="I57" s="2" t="s">
        <v>635</v>
      </c>
    </row>
    <row r="58" spans="1:9" hidden="1" x14ac:dyDescent="0.25">
      <c r="A58" s="2" t="s">
        <v>43</v>
      </c>
      <c r="B58" s="2" t="s">
        <v>44</v>
      </c>
      <c r="C58" s="2">
        <v>50000990</v>
      </c>
      <c r="D58" s="2" t="s">
        <v>447</v>
      </c>
      <c r="E58" s="2" t="s">
        <v>441</v>
      </c>
      <c r="F58" s="2"/>
      <c r="G58" s="2"/>
      <c r="H58" s="2" t="s">
        <v>45</v>
      </c>
      <c r="I58" s="2" t="s">
        <v>636</v>
      </c>
    </row>
    <row r="59" spans="1:9" hidden="1" x14ac:dyDescent="0.25">
      <c r="A59" s="2" t="s">
        <v>38</v>
      </c>
      <c r="B59" s="2" t="s">
        <v>39</v>
      </c>
      <c r="C59" s="2">
        <v>103011</v>
      </c>
      <c r="D59" s="2" t="s">
        <v>448</v>
      </c>
      <c r="E59" s="2" t="s">
        <v>438</v>
      </c>
      <c r="F59" s="2"/>
      <c r="G59" s="2"/>
      <c r="H59" s="2" t="s">
        <v>40</v>
      </c>
      <c r="I59" s="2" t="s">
        <v>637</v>
      </c>
    </row>
    <row r="60" spans="1:9" x14ac:dyDescent="0.25">
      <c r="A60" s="2" t="s">
        <v>285</v>
      </c>
      <c r="B60" s="2" t="s">
        <v>315</v>
      </c>
      <c r="C60" s="2">
        <v>101006</v>
      </c>
      <c r="D60" s="2" t="s">
        <v>469</v>
      </c>
      <c r="E60" s="2" t="s">
        <v>441</v>
      </c>
      <c r="F60" s="2"/>
      <c r="G60" s="2"/>
      <c r="H60" s="2" t="s">
        <v>300</v>
      </c>
      <c r="I60" s="2" t="s">
        <v>638</v>
      </c>
    </row>
    <row r="61" spans="1:9" hidden="1" x14ac:dyDescent="0.25">
      <c r="A61" s="2" t="s">
        <v>27</v>
      </c>
      <c r="B61" s="2" t="s">
        <v>28</v>
      </c>
      <c r="C61" s="2">
        <v>50000974</v>
      </c>
      <c r="D61" s="2" t="s">
        <v>458</v>
      </c>
      <c r="E61" s="2" t="s">
        <v>441</v>
      </c>
      <c r="F61" s="2"/>
      <c r="G61" s="2"/>
      <c r="H61" s="2" t="s">
        <v>29</v>
      </c>
      <c r="I61" s="2" t="s">
        <v>639</v>
      </c>
    </row>
    <row r="62" spans="1:9" hidden="1" x14ac:dyDescent="0.25">
      <c r="A62" s="2" t="s">
        <v>19</v>
      </c>
      <c r="B62" s="2" t="s">
        <v>20</v>
      </c>
      <c r="C62" s="2">
        <v>101005</v>
      </c>
      <c r="D62" s="2" t="s">
        <v>470</v>
      </c>
      <c r="E62" s="2" t="s">
        <v>438</v>
      </c>
      <c r="F62" s="2"/>
      <c r="G62" s="2"/>
      <c r="H62" s="2" t="s">
        <v>21</v>
      </c>
      <c r="I62" s="2" t="s">
        <v>640</v>
      </c>
    </row>
    <row r="63" spans="1:9" hidden="1" x14ac:dyDescent="0.25">
      <c r="A63" s="2" t="s">
        <v>3</v>
      </c>
      <c r="B63" s="2" t="s">
        <v>4</v>
      </c>
      <c r="C63" s="2">
        <v>50000990</v>
      </c>
      <c r="D63" s="2" t="s">
        <v>461</v>
      </c>
      <c r="E63" s="2" t="s">
        <v>441</v>
      </c>
      <c r="F63" s="2"/>
      <c r="G63" s="2"/>
      <c r="H63" s="2" t="s">
        <v>5</v>
      </c>
      <c r="I63" s="2" t="s">
        <v>641</v>
      </c>
    </row>
    <row r="64" spans="1:9" hidden="1" x14ac:dyDescent="0.25">
      <c r="A64" s="2" t="s">
        <v>189</v>
      </c>
      <c r="B64" s="2"/>
      <c r="C64" s="2">
        <v>50000996</v>
      </c>
      <c r="D64" s="2" t="s">
        <v>471</v>
      </c>
      <c r="E64" s="2" t="s">
        <v>441</v>
      </c>
      <c r="F64" s="2" t="s">
        <v>472</v>
      </c>
      <c r="G64" s="8">
        <v>24262</v>
      </c>
      <c r="H64" s="2" t="s">
        <v>190</v>
      </c>
      <c r="I64" s="2" t="s">
        <v>642</v>
      </c>
    </row>
    <row r="65" spans="1:9" hidden="1" x14ac:dyDescent="0.25">
      <c r="A65" s="2" t="s">
        <v>33</v>
      </c>
      <c r="B65" s="2" t="s">
        <v>34</v>
      </c>
      <c r="C65" s="2">
        <v>102003</v>
      </c>
      <c r="D65" s="2" t="s">
        <v>439</v>
      </c>
      <c r="E65" s="2" t="s">
        <v>438</v>
      </c>
      <c r="F65" s="2"/>
      <c r="G65" s="2"/>
      <c r="H65" s="2" t="s">
        <v>35</v>
      </c>
      <c r="I65" s="2" t="s">
        <v>643</v>
      </c>
    </row>
    <row r="66" spans="1:9" hidden="1" x14ac:dyDescent="0.25">
      <c r="A66" s="2" t="s">
        <v>88</v>
      </c>
      <c r="B66" s="2"/>
      <c r="C66" s="2">
        <v>50000955</v>
      </c>
      <c r="D66" s="2" t="s">
        <v>471</v>
      </c>
      <c r="E66" s="2" t="s">
        <v>441</v>
      </c>
      <c r="F66" s="2" t="s">
        <v>473</v>
      </c>
      <c r="G66" s="8">
        <v>22588</v>
      </c>
      <c r="H66" s="2" t="s">
        <v>89</v>
      </c>
      <c r="I66" s="2" t="s">
        <v>644</v>
      </c>
    </row>
    <row r="67" spans="1:9" hidden="1" x14ac:dyDescent="0.25">
      <c r="A67" s="2" t="s">
        <v>7</v>
      </c>
      <c r="B67" s="2"/>
      <c r="C67" s="2">
        <v>50000996</v>
      </c>
      <c r="D67" s="2" t="s">
        <v>474</v>
      </c>
      <c r="E67" s="2" t="s">
        <v>441</v>
      </c>
      <c r="F67" s="2" t="s">
        <v>475</v>
      </c>
      <c r="G67" s="8">
        <v>23142</v>
      </c>
      <c r="H67" s="2" t="s">
        <v>184</v>
      </c>
      <c r="I67" s="2" t="s">
        <v>645</v>
      </c>
    </row>
    <row r="68" spans="1:9" hidden="1" x14ac:dyDescent="0.25">
      <c r="A68" s="2" t="s">
        <v>9</v>
      </c>
      <c r="B68" s="2"/>
      <c r="C68" s="2">
        <v>50000990</v>
      </c>
      <c r="D68" s="2" t="s">
        <v>476</v>
      </c>
      <c r="E68" s="2" t="s">
        <v>441</v>
      </c>
      <c r="F68" s="2" t="s">
        <v>477</v>
      </c>
      <c r="G68" s="8">
        <v>29823</v>
      </c>
      <c r="H68" s="2" t="s">
        <v>132</v>
      </c>
      <c r="I68" s="2" t="s">
        <v>646</v>
      </c>
    </row>
    <row r="69" spans="1:9" hidden="1" x14ac:dyDescent="0.25">
      <c r="A69" s="2" t="s">
        <v>13</v>
      </c>
      <c r="B69" s="2"/>
      <c r="C69" s="2">
        <v>50001003</v>
      </c>
      <c r="D69" s="2" t="s">
        <v>478</v>
      </c>
      <c r="E69" s="2" t="s">
        <v>441</v>
      </c>
      <c r="F69" s="2" t="s">
        <v>479</v>
      </c>
      <c r="G69" s="8">
        <v>28654</v>
      </c>
      <c r="H69" s="2" t="s">
        <v>108</v>
      </c>
      <c r="I69" s="2" t="s">
        <v>647</v>
      </c>
    </row>
    <row r="70" spans="1:9" hidden="1" x14ac:dyDescent="0.25">
      <c r="A70" s="2" t="s">
        <v>187</v>
      </c>
      <c r="B70" s="2"/>
      <c r="C70" s="2">
        <v>50000996</v>
      </c>
      <c r="D70" s="2" t="s">
        <v>478</v>
      </c>
      <c r="E70" s="2" t="s">
        <v>441</v>
      </c>
      <c r="F70" s="2" t="s">
        <v>480</v>
      </c>
      <c r="G70" s="8">
        <v>31010</v>
      </c>
      <c r="H70" s="2" t="s">
        <v>188</v>
      </c>
      <c r="I70" s="2" t="s">
        <v>648</v>
      </c>
    </row>
    <row r="71" spans="1:9" hidden="1" x14ac:dyDescent="0.25">
      <c r="A71" s="2" t="s">
        <v>83</v>
      </c>
      <c r="B71" s="2"/>
      <c r="C71" s="2">
        <v>50000955</v>
      </c>
      <c r="D71" s="2" t="s">
        <v>471</v>
      </c>
      <c r="E71" s="2" t="s">
        <v>441</v>
      </c>
      <c r="F71" s="2" t="s">
        <v>481</v>
      </c>
      <c r="G71" s="8">
        <v>32418</v>
      </c>
      <c r="H71" s="2" t="s">
        <v>84</v>
      </c>
      <c r="I71" s="2" t="s">
        <v>649</v>
      </c>
    </row>
    <row r="72" spans="1:9" hidden="1" x14ac:dyDescent="0.25">
      <c r="A72" s="2" t="s">
        <v>17</v>
      </c>
      <c r="B72" s="2"/>
      <c r="C72" s="2">
        <v>50000974</v>
      </c>
      <c r="D72" s="2" t="s">
        <v>482</v>
      </c>
      <c r="E72" s="2" t="s">
        <v>441</v>
      </c>
      <c r="F72" s="2" t="s">
        <v>483</v>
      </c>
      <c r="G72" s="8">
        <v>28409</v>
      </c>
      <c r="H72" s="2" t="s">
        <v>140</v>
      </c>
      <c r="I72" s="2" t="s">
        <v>650</v>
      </c>
    </row>
    <row r="73" spans="1:9" hidden="1" x14ac:dyDescent="0.25">
      <c r="A73" s="2" t="s">
        <v>22</v>
      </c>
      <c r="B73" s="2"/>
      <c r="C73" s="2">
        <v>50000955</v>
      </c>
      <c r="D73" s="2" t="s">
        <v>484</v>
      </c>
      <c r="E73" s="2" t="s">
        <v>441</v>
      </c>
      <c r="F73" s="2" t="s">
        <v>485</v>
      </c>
      <c r="G73" s="8">
        <v>31948</v>
      </c>
      <c r="H73" s="2" t="s">
        <v>202</v>
      </c>
      <c r="I73" s="2" t="s">
        <v>651</v>
      </c>
    </row>
    <row r="74" spans="1:9" hidden="1" x14ac:dyDescent="0.25">
      <c r="A74" s="2" t="s">
        <v>25</v>
      </c>
      <c r="B74" s="2"/>
      <c r="C74" s="2">
        <v>50000993</v>
      </c>
      <c r="D74" s="2" t="s">
        <v>471</v>
      </c>
      <c r="E74" s="2" t="s">
        <v>441</v>
      </c>
      <c r="F74" s="2" t="s">
        <v>486</v>
      </c>
      <c r="G74" s="8">
        <v>29938</v>
      </c>
      <c r="H74" s="2" t="s">
        <v>90</v>
      </c>
      <c r="I74" s="2" t="s">
        <v>652</v>
      </c>
    </row>
    <row r="75" spans="1:9" hidden="1" x14ac:dyDescent="0.25">
      <c r="A75" s="2" t="s">
        <v>30</v>
      </c>
      <c r="B75" s="2"/>
      <c r="C75" s="2">
        <v>50000996</v>
      </c>
      <c r="D75" s="2" t="s">
        <v>484</v>
      </c>
      <c r="E75" s="2" t="s">
        <v>441</v>
      </c>
      <c r="F75" s="2" t="s">
        <v>487</v>
      </c>
      <c r="G75" s="8">
        <v>29604</v>
      </c>
      <c r="H75" s="2" t="s">
        <v>177</v>
      </c>
      <c r="I75" s="2" t="s">
        <v>653</v>
      </c>
    </row>
    <row r="76" spans="1:9" hidden="1" x14ac:dyDescent="0.25">
      <c r="A76" s="2" t="s">
        <v>32</v>
      </c>
      <c r="B76" s="2"/>
      <c r="C76" s="2">
        <v>50000996</v>
      </c>
      <c r="D76" s="2" t="s">
        <v>488</v>
      </c>
      <c r="E76" s="2" t="s">
        <v>441</v>
      </c>
      <c r="F76" s="2" t="s">
        <v>489</v>
      </c>
      <c r="G76" s="8">
        <v>24629</v>
      </c>
      <c r="H76" s="2" t="s">
        <v>178</v>
      </c>
      <c r="I76" s="2" t="s">
        <v>654</v>
      </c>
    </row>
    <row r="77" spans="1:9" hidden="1" x14ac:dyDescent="0.25">
      <c r="A77" s="2" t="s">
        <v>141</v>
      </c>
      <c r="B77" s="2"/>
      <c r="C77" s="2">
        <v>50000974</v>
      </c>
      <c r="D77" s="2" t="s">
        <v>490</v>
      </c>
      <c r="E77" s="2" t="s">
        <v>441</v>
      </c>
      <c r="F77" s="2" t="s">
        <v>491</v>
      </c>
      <c r="G77" s="8">
        <v>28408</v>
      </c>
      <c r="H77" s="2" t="s">
        <v>142</v>
      </c>
      <c r="I77" s="2" t="s">
        <v>655</v>
      </c>
    </row>
    <row r="78" spans="1:9" hidden="1" x14ac:dyDescent="0.25">
      <c r="A78" s="2" t="s">
        <v>41</v>
      </c>
      <c r="B78" s="2"/>
      <c r="C78" s="2">
        <v>50000974</v>
      </c>
      <c r="D78" s="2" t="s">
        <v>492</v>
      </c>
      <c r="E78" s="2" t="s">
        <v>441</v>
      </c>
      <c r="F78" s="2" t="s">
        <v>493</v>
      </c>
      <c r="G78" s="8">
        <v>35185</v>
      </c>
      <c r="H78" s="2" t="s">
        <v>143</v>
      </c>
      <c r="I78" s="2" t="s">
        <v>656</v>
      </c>
    </row>
    <row r="79" spans="1:9" hidden="1" x14ac:dyDescent="0.25">
      <c r="A79" s="2" t="s">
        <v>120</v>
      </c>
      <c r="B79" s="2" t="s">
        <v>121</v>
      </c>
      <c r="C79" s="2">
        <v>103009</v>
      </c>
      <c r="D79" s="2" t="s">
        <v>439</v>
      </c>
      <c r="E79" s="2" t="s">
        <v>438</v>
      </c>
      <c r="F79" s="2"/>
      <c r="G79" s="2"/>
      <c r="H79" s="2" t="s">
        <v>122</v>
      </c>
      <c r="I79" s="2" t="s">
        <v>657</v>
      </c>
    </row>
    <row r="80" spans="1:9" hidden="1" x14ac:dyDescent="0.25">
      <c r="A80" s="2" t="s">
        <v>148</v>
      </c>
      <c r="B80" s="2" t="s">
        <v>149</v>
      </c>
      <c r="C80" s="2">
        <v>50000990</v>
      </c>
      <c r="D80" s="2" t="s">
        <v>494</v>
      </c>
      <c r="E80" s="2" t="s">
        <v>441</v>
      </c>
      <c r="F80" s="2"/>
      <c r="G80" s="2"/>
      <c r="H80" s="2" t="s">
        <v>150</v>
      </c>
      <c r="I80" s="2" t="s">
        <v>658</v>
      </c>
    </row>
    <row r="81" spans="1:9" hidden="1" x14ac:dyDescent="0.25">
      <c r="A81" s="2" t="s">
        <v>42</v>
      </c>
      <c r="B81" s="2"/>
      <c r="C81" s="2">
        <v>50000996</v>
      </c>
      <c r="D81" s="2" t="s">
        <v>492</v>
      </c>
      <c r="E81" s="2" t="s">
        <v>441</v>
      </c>
      <c r="F81" s="2" t="s">
        <v>495</v>
      </c>
      <c r="G81" s="8">
        <v>28720</v>
      </c>
      <c r="H81" s="2" t="s">
        <v>179</v>
      </c>
      <c r="I81" s="2" t="s">
        <v>659</v>
      </c>
    </row>
    <row r="82" spans="1:9" hidden="1" x14ac:dyDescent="0.25">
      <c r="A82" s="2" t="s">
        <v>144</v>
      </c>
      <c r="B82" s="2"/>
      <c r="C82" s="2">
        <v>50000974</v>
      </c>
      <c r="D82" s="2" t="s">
        <v>490</v>
      </c>
      <c r="E82" s="2" t="s">
        <v>441</v>
      </c>
      <c r="F82" s="2" t="s">
        <v>496</v>
      </c>
      <c r="G82" s="8">
        <v>24900</v>
      </c>
      <c r="H82" s="2" t="s">
        <v>145</v>
      </c>
      <c r="I82" s="2" t="s">
        <v>660</v>
      </c>
    </row>
    <row r="83" spans="1:9" hidden="1" x14ac:dyDescent="0.25">
      <c r="A83" s="2" t="s">
        <v>70</v>
      </c>
      <c r="B83" s="2"/>
      <c r="C83" s="2">
        <v>50000996</v>
      </c>
      <c r="D83" s="2" t="s">
        <v>471</v>
      </c>
      <c r="E83" s="2" t="s">
        <v>441</v>
      </c>
      <c r="F83" s="2" t="s">
        <v>497</v>
      </c>
      <c r="G83" s="8">
        <v>22986</v>
      </c>
      <c r="H83" s="2" t="s">
        <v>199</v>
      </c>
      <c r="I83" s="2" t="s">
        <v>661</v>
      </c>
    </row>
    <row r="84" spans="1:9" hidden="1" x14ac:dyDescent="0.25">
      <c r="A84" s="2" t="s">
        <v>169</v>
      </c>
      <c r="B84" s="2" t="s">
        <v>170</v>
      </c>
      <c r="C84" s="2">
        <v>103003</v>
      </c>
      <c r="D84" s="2" t="s">
        <v>498</v>
      </c>
      <c r="E84" s="2" t="s">
        <v>438</v>
      </c>
      <c r="F84" s="2"/>
      <c r="G84" s="2"/>
      <c r="H84" s="2" t="s">
        <v>171</v>
      </c>
      <c r="I84" s="2" t="s">
        <v>662</v>
      </c>
    </row>
    <row r="85" spans="1:9" hidden="1" x14ac:dyDescent="0.25">
      <c r="A85" s="2" t="s">
        <v>193</v>
      </c>
      <c r="B85" s="2" t="s">
        <v>194</v>
      </c>
      <c r="C85" s="2">
        <v>50000974</v>
      </c>
      <c r="D85" s="2" t="s">
        <v>494</v>
      </c>
      <c r="E85" s="2" t="s">
        <v>441</v>
      </c>
      <c r="F85" s="2"/>
      <c r="G85" s="2"/>
      <c r="H85" s="2" t="s">
        <v>195</v>
      </c>
      <c r="I85" s="2" t="s">
        <v>663</v>
      </c>
    </row>
    <row r="86" spans="1:9" hidden="1" x14ac:dyDescent="0.25">
      <c r="A86" s="2" t="s">
        <v>72</v>
      </c>
      <c r="B86" s="2"/>
      <c r="C86" s="2">
        <v>50000990</v>
      </c>
      <c r="D86" s="2" t="s">
        <v>478</v>
      </c>
      <c r="E86" s="2" t="s">
        <v>441</v>
      </c>
      <c r="F86" s="2" t="s">
        <v>499</v>
      </c>
      <c r="G86" s="8">
        <v>29528</v>
      </c>
      <c r="H86" s="2" t="s">
        <v>133</v>
      </c>
      <c r="I86" s="2" t="s">
        <v>664</v>
      </c>
    </row>
    <row r="87" spans="1:9" hidden="1" x14ac:dyDescent="0.25">
      <c r="A87" s="2" t="s">
        <v>97</v>
      </c>
      <c r="B87" s="2"/>
      <c r="C87" s="2">
        <v>50000981</v>
      </c>
      <c r="D87" s="2" t="s">
        <v>500</v>
      </c>
      <c r="E87" s="2" t="s">
        <v>441</v>
      </c>
      <c r="F87" s="2" t="s">
        <v>501</v>
      </c>
      <c r="G87" s="8">
        <v>28415</v>
      </c>
      <c r="H87" s="2" t="s">
        <v>98</v>
      </c>
      <c r="I87" s="2" t="s">
        <v>665</v>
      </c>
    </row>
    <row r="88" spans="1:9" hidden="1" x14ac:dyDescent="0.25">
      <c r="A88" s="2" t="s">
        <v>67</v>
      </c>
      <c r="B88" s="2" t="s">
        <v>502</v>
      </c>
      <c r="C88" s="2">
        <v>103017</v>
      </c>
      <c r="D88" s="2" t="s">
        <v>439</v>
      </c>
      <c r="E88" s="2" t="s">
        <v>457</v>
      </c>
      <c r="F88" s="2"/>
      <c r="G88" s="2"/>
      <c r="H88" s="2" t="s">
        <v>503</v>
      </c>
      <c r="I88" s="2" t="s">
        <v>666</v>
      </c>
    </row>
    <row r="89" spans="1:9" hidden="1" x14ac:dyDescent="0.25">
      <c r="A89" s="2" t="s">
        <v>46</v>
      </c>
      <c r="B89" s="2"/>
      <c r="C89" s="2">
        <v>50000996</v>
      </c>
      <c r="D89" s="2" t="s">
        <v>465</v>
      </c>
      <c r="E89" s="2" t="s">
        <v>441</v>
      </c>
      <c r="F89" s="2" t="s">
        <v>504</v>
      </c>
      <c r="G89" s="8">
        <v>30508</v>
      </c>
      <c r="H89" s="2" t="s">
        <v>180</v>
      </c>
      <c r="I89" s="2" t="s">
        <v>667</v>
      </c>
    </row>
    <row r="90" spans="1:9" hidden="1" x14ac:dyDescent="0.25">
      <c r="A90" s="2" t="s">
        <v>76</v>
      </c>
      <c r="B90" s="2"/>
      <c r="C90" s="2">
        <v>50000990</v>
      </c>
      <c r="D90" s="2" t="s">
        <v>478</v>
      </c>
      <c r="E90" s="2" t="s">
        <v>441</v>
      </c>
      <c r="F90" s="2" t="s">
        <v>505</v>
      </c>
      <c r="G90" s="8">
        <v>34648</v>
      </c>
      <c r="H90" s="2" t="s">
        <v>134</v>
      </c>
      <c r="I90" s="2" t="s">
        <v>668</v>
      </c>
    </row>
    <row r="91" spans="1:9" hidden="1" x14ac:dyDescent="0.25">
      <c r="A91" s="2" t="s">
        <v>47</v>
      </c>
      <c r="B91" s="2"/>
      <c r="C91" s="2">
        <v>103017</v>
      </c>
      <c r="D91" s="2" t="s">
        <v>478</v>
      </c>
      <c r="E91" s="2" t="s">
        <v>457</v>
      </c>
      <c r="F91" s="2" t="s">
        <v>506</v>
      </c>
      <c r="G91" s="8">
        <v>26709</v>
      </c>
      <c r="H91" s="2" t="s">
        <v>128</v>
      </c>
      <c r="I91" s="2" t="s">
        <v>669</v>
      </c>
    </row>
    <row r="92" spans="1:9" hidden="1" x14ac:dyDescent="0.25">
      <c r="A92" s="2" t="s">
        <v>203</v>
      </c>
      <c r="B92" s="2"/>
      <c r="C92" s="2">
        <v>50000995</v>
      </c>
      <c r="D92" s="2" t="s">
        <v>507</v>
      </c>
      <c r="E92" s="2" t="s">
        <v>441</v>
      </c>
      <c r="F92" s="2" t="s">
        <v>508</v>
      </c>
      <c r="G92" s="8">
        <v>25031</v>
      </c>
      <c r="H92" s="2" t="s">
        <v>204</v>
      </c>
      <c r="I92" s="2" t="s">
        <v>670</v>
      </c>
    </row>
    <row r="93" spans="1:9" hidden="1" x14ac:dyDescent="0.25">
      <c r="A93" s="2" t="s">
        <v>78</v>
      </c>
      <c r="B93" s="2"/>
      <c r="C93" s="2">
        <v>50000990</v>
      </c>
      <c r="D93" s="2" t="s">
        <v>478</v>
      </c>
      <c r="E93" s="2" t="s">
        <v>441</v>
      </c>
      <c r="F93" s="2" t="s">
        <v>509</v>
      </c>
      <c r="G93" s="8">
        <v>28945</v>
      </c>
      <c r="H93" s="2" t="s">
        <v>135</v>
      </c>
      <c r="I93" s="2" t="s">
        <v>671</v>
      </c>
    </row>
    <row r="94" spans="1:9" hidden="1" x14ac:dyDescent="0.25">
      <c r="A94" s="2" t="s">
        <v>82</v>
      </c>
      <c r="B94" s="2"/>
      <c r="C94" s="2">
        <v>50000990</v>
      </c>
      <c r="D94" s="2" t="s">
        <v>478</v>
      </c>
      <c r="E94" s="2" t="s">
        <v>441</v>
      </c>
      <c r="F94" s="2" t="s">
        <v>510</v>
      </c>
      <c r="G94" s="8">
        <v>23920</v>
      </c>
      <c r="H94" s="2" t="s">
        <v>136</v>
      </c>
      <c r="I94" s="2" t="s">
        <v>672</v>
      </c>
    </row>
    <row r="95" spans="1:9" hidden="1" x14ac:dyDescent="0.25">
      <c r="A95" s="2" t="s">
        <v>181</v>
      </c>
      <c r="B95" s="2"/>
      <c r="C95" s="2">
        <v>50000996</v>
      </c>
      <c r="D95" s="2" t="s">
        <v>484</v>
      </c>
      <c r="E95" s="2" t="s">
        <v>441</v>
      </c>
      <c r="F95" s="2" t="s">
        <v>511</v>
      </c>
      <c r="G95" s="8">
        <v>30700</v>
      </c>
      <c r="H95" s="2" t="s">
        <v>182</v>
      </c>
      <c r="I95" s="2" t="s">
        <v>673</v>
      </c>
    </row>
    <row r="96" spans="1:9" hidden="1" x14ac:dyDescent="0.25">
      <c r="A96" s="2" t="s">
        <v>86</v>
      </c>
      <c r="B96" s="2"/>
      <c r="C96" s="2">
        <v>50000955</v>
      </c>
      <c r="D96" s="2" t="s">
        <v>512</v>
      </c>
      <c r="E96" s="2" t="s">
        <v>441</v>
      </c>
      <c r="F96" s="2" t="s">
        <v>513</v>
      </c>
      <c r="G96" s="8">
        <v>28243</v>
      </c>
      <c r="H96" s="2" t="s">
        <v>87</v>
      </c>
      <c r="I96" s="2" t="s">
        <v>674</v>
      </c>
    </row>
    <row r="97" spans="1:9" hidden="1" x14ac:dyDescent="0.25">
      <c r="A97" s="2" t="s">
        <v>85</v>
      </c>
      <c r="B97" s="2"/>
      <c r="C97" s="2">
        <v>50000990</v>
      </c>
      <c r="D97" s="2" t="s">
        <v>478</v>
      </c>
      <c r="E97" s="2" t="s">
        <v>441</v>
      </c>
      <c r="F97" s="2" t="s">
        <v>514</v>
      </c>
      <c r="G97" s="8">
        <v>34955</v>
      </c>
      <c r="H97" s="2" t="s">
        <v>137</v>
      </c>
      <c r="I97" s="2" t="s">
        <v>675</v>
      </c>
    </row>
    <row r="98" spans="1:9" hidden="1" x14ac:dyDescent="0.25">
      <c r="A98" s="2" t="s">
        <v>129</v>
      </c>
      <c r="B98" s="2"/>
      <c r="C98" s="2">
        <v>50000990</v>
      </c>
      <c r="D98" s="2" t="s">
        <v>500</v>
      </c>
      <c r="E98" s="2" t="s">
        <v>441</v>
      </c>
      <c r="F98" s="2" t="s">
        <v>515</v>
      </c>
      <c r="G98" s="8">
        <v>33636</v>
      </c>
      <c r="H98" s="2" t="s">
        <v>130</v>
      </c>
      <c r="I98" s="2" t="s">
        <v>676</v>
      </c>
    </row>
    <row r="99" spans="1:9" hidden="1" x14ac:dyDescent="0.25">
      <c r="A99" s="2" t="s">
        <v>225</v>
      </c>
      <c r="B99" s="2" t="s">
        <v>233</v>
      </c>
      <c r="C99" s="2">
        <v>50000103</v>
      </c>
      <c r="D99" s="2" t="s">
        <v>516</v>
      </c>
      <c r="E99" s="2" t="s">
        <v>457</v>
      </c>
      <c r="F99" s="2"/>
      <c r="G99" s="2"/>
      <c r="H99" s="2" t="s">
        <v>226</v>
      </c>
      <c r="I99" s="2" t="s">
        <v>677</v>
      </c>
    </row>
    <row r="100" spans="1:9" hidden="1" x14ac:dyDescent="0.25">
      <c r="A100" s="2" t="s">
        <v>237</v>
      </c>
      <c r="B100" s="2" t="s">
        <v>238</v>
      </c>
      <c r="C100" s="2">
        <v>50000981</v>
      </c>
      <c r="D100" s="2" t="s">
        <v>517</v>
      </c>
      <c r="E100" s="2" t="s">
        <v>441</v>
      </c>
      <c r="F100" s="2"/>
      <c r="G100" s="2"/>
      <c r="H100" s="2" t="s">
        <v>239</v>
      </c>
      <c r="I100" s="2" t="s">
        <v>678</v>
      </c>
    </row>
    <row r="101" spans="1:9" hidden="1" x14ac:dyDescent="0.25">
      <c r="A101" s="2" t="s">
        <v>191</v>
      </c>
      <c r="B101" s="2"/>
      <c r="C101" s="2">
        <v>50000996</v>
      </c>
      <c r="D101" s="2" t="s">
        <v>518</v>
      </c>
      <c r="E101" s="2" t="s">
        <v>441</v>
      </c>
      <c r="F101" s="2" t="s">
        <v>519</v>
      </c>
      <c r="G101" s="8">
        <v>23103</v>
      </c>
      <c r="H101" s="2" t="s">
        <v>192</v>
      </c>
      <c r="I101" s="2" t="s">
        <v>679</v>
      </c>
    </row>
    <row r="102" spans="1:9" hidden="1" x14ac:dyDescent="0.25">
      <c r="A102" s="2" t="s">
        <v>57</v>
      </c>
      <c r="B102" s="2"/>
      <c r="C102" s="2">
        <v>50000996</v>
      </c>
      <c r="D102" s="2" t="s">
        <v>474</v>
      </c>
      <c r="E102" s="2" t="s">
        <v>441</v>
      </c>
      <c r="F102" s="2" t="s">
        <v>520</v>
      </c>
      <c r="G102" s="8">
        <v>31909</v>
      </c>
      <c r="H102" s="2" t="s">
        <v>101</v>
      </c>
      <c r="I102" s="2" t="s">
        <v>680</v>
      </c>
    </row>
    <row r="103" spans="1:9" hidden="1" x14ac:dyDescent="0.25">
      <c r="A103" s="2" t="s">
        <v>102</v>
      </c>
      <c r="B103" s="2"/>
      <c r="C103" s="2">
        <v>50000981</v>
      </c>
      <c r="D103" s="2" t="s">
        <v>488</v>
      </c>
      <c r="E103" s="2" t="s">
        <v>441</v>
      </c>
      <c r="F103" s="2" t="s">
        <v>521</v>
      </c>
      <c r="G103" s="8">
        <v>22464</v>
      </c>
      <c r="H103" s="2" t="s">
        <v>103</v>
      </c>
      <c r="I103" s="2" t="s">
        <v>681</v>
      </c>
    </row>
    <row r="104" spans="1:9" hidden="1" x14ac:dyDescent="0.25">
      <c r="A104" s="2" t="s">
        <v>104</v>
      </c>
      <c r="B104" s="2"/>
      <c r="C104" s="2">
        <v>50000981</v>
      </c>
      <c r="D104" s="2" t="s">
        <v>484</v>
      </c>
      <c r="E104" s="2" t="s">
        <v>441</v>
      </c>
      <c r="F104" s="2" t="s">
        <v>522</v>
      </c>
      <c r="G104" s="8">
        <v>35598</v>
      </c>
      <c r="H104" s="2" t="s">
        <v>105</v>
      </c>
      <c r="I104" s="2" t="s">
        <v>682</v>
      </c>
    </row>
    <row r="105" spans="1:9" hidden="1" x14ac:dyDescent="0.25">
      <c r="A105" s="2" t="s">
        <v>251</v>
      </c>
      <c r="B105" s="2" t="s">
        <v>252</v>
      </c>
      <c r="C105" s="2">
        <v>50000974</v>
      </c>
      <c r="D105" s="2" t="s">
        <v>494</v>
      </c>
      <c r="E105" s="2" t="s">
        <v>441</v>
      </c>
      <c r="F105" s="2"/>
      <c r="G105" s="2"/>
      <c r="H105" s="2" t="s">
        <v>253</v>
      </c>
      <c r="I105" s="2" t="s">
        <v>683</v>
      </c>
    </row>
    <row r="106" spans="1:9" hidden="1" x14ac:dyDescent="0.25">
      <c r="A106" s="2" t="s">
        <v>58</v>
      </c>
      <c r="B106" s="2"/>
      <c r="C106" s="2">
        <v>50000974</v>
      </c>
      <c r="D106" s="2" t="s">
        <v>474</v>
      </c>
      <c r="E106" s="2" t="s">
        <v>441</v>
      </c>
      <c r="F106" s="2" t="s">
        <v>523</v>
      </c>
      <c r="G106" s="8">
        <v>34123</v>
      </c>
      <c r="H106" s="2" t="s">
        <v>146</v>
      </c>
      <c r="I106" s="2" t="s">
        <v>684</v>
      </c>
    </row>
    <row r="107" spans="1:9" hidden="1" x14ac:dyDescent="0.25">
      <c r="A107" s="2" t="s">
        <v>62</v>
      </c>
      <c r="B107" s="2"/>
      <c r="C107" s="2">
        <v>50000955</v>
      </c>
      <c r="D107" s="2" t="s">
        <v>474</v>
      </c>
      <c r="E107" s="2" t="s">
        <v>441</v>
      </c>
      <c r="F107" s="2" t="s">
        <v>524</v>
      </c>
      <c r="G107" s="8">
        <v>26380</v>
      </c>
      <c r="H107" s="2" t="s">
        <v>205</v>
      </c>
      <c r="I107" s="2" t="s">
        <v>685</v>
      </c>
    </row>
    <row r="108" spans="1:9" hidden="1" x14ac:dyDescent="0.25">
      <c r="A108" s="2" t="s">
        <v>11</v>
      </c>
      <c r="B108" s="2"/>
      <c r="C108" s="2">
        <v>50000990</v>
      </c>
      <c r="D108" s="2" t="s">
        <v>525</v>
      </c>
      <c r="E108" s="2" t="s">
        <v>441</v>
      </c>
      <c r="F108" s="2" t="s">
        <v>526</v>
      </c>
      <c r="G108" s="8">
        <v>31379</v>
      </c>
      <c r="H108" s="2" t="s">
        <v>12</v>
      </c>
      <c r="I108" s="2" t="s">
        <v>686</v>
      </c>
    </row>
    <row r="109" spans="1:9" hidden="1" x14ac:dyDescent="0.25">
      <c r="A109" s="2" t="s">
        <v>274</v>
      </c>
      <c r="B109" s="2" t="s">
        <v>276</v>
      </c>
      <c r="C109" s="2">
        <v>101010</v>
      </c>
      <c r="D109" s="2" t="s">
        <v>439</v>
      </c>
      <c r="E109" s="2" t="s">
        <v>438</v>
      </c>
      <c r="F109" s="2"/>
      <c r="G109" s="2"/>
      <c r="H109" s="2" t="s">
        <v>275</v>
      </c>
      <c r="I109" s="2" t="s">
        <v>687</v>
      </c>
    </row>
    <row r="110" spans="1:9" hidden="1" x14ac:dyDescent="0.25">
      <c r="A110" s="2" t="s">
        <v>281</v>
      </c>
      <c r="B110" s="2" t="s">
        <v>282</v>
      </c>
      <c r="C110" s="2">
        <v>50000996</v>
      </c>
      <c r="D110" s="2" t="s">
        <v>517</v>
      </c>
      <c r="E110" s="2" t="s">
        <v>441</v>
      </c>
      <c r="F110" s="2"/>
      <c r="G110" s="2"/>
      <c r="H110" s="2" t="s">
        <v>283</v>
      </c>
      <c r="I110" s="2" t="s">
        <v>688</v>
      </c>
    </row>
    <row r="111" spans="1:9" hidden="1" x14ac:dyDescent="0.25">
      <c r="A111" s="2" t="s">
        <v>206</v>
      </c>
      <c r="B111" s="2"/>
      <c r="C111" s="2">
        <v>103017</v>
      </c>
      <c r="D111" s="2" t="s">
        <v>500</v>
      </c>
      <c r="E111" s="2" t="s">
        <v>457</v>
      </c>
      <c r="F111" s="2" t="s">
        <v>527</v>
      </c>
      <c r="G111" s="8">
        <v>30218</v>
      </c>
      <c r="H111" s="2" t="s">
        <v>208</v>
      </c>
      <c r="I111" s="2" t="s">
        <v>689</v>
      </c>
    </row>
    <row r="112" spans="1:9" hidden="1" x14ac:dyDescent="0.25">
      <c r="A112" s="2" t="s">
        <v>175</v>
      </c>
      <c r="B112" s="2"/>
      <c r="C112" s="2">
        <v>50000996</v>
      </c>
      <c r="D112" s="2" t="s">
        <v>500</v>
      </c>
      <c r="E112" s="2" t="s">
        <v>441</v>
      </c>
      <c r="F112" s="2" t="s">
        <v>528</v>
      </c>
      <c r="G112" s="8">
        <v>32662</v>
      </c>
      <c r="H112" s="2" t="s">
        <v>176</v>
      </c>
      <c r="I112" s="2" t="s">
        <v>690</v>
      </c>
    </row>
    <row r="113" spans="1:9" hidden="1" x14ac:dyDescent="0.25">
      <c r="A113" s="2" t="s">
        <v>51</v>
      </c>
      <c r="B113" s="2"/>
      <c r="C113" s="2">
        <v>50000990</v>
      </c>
      <c r="D113" s="2" t="s">
        <v>484</v>
      </c>
      <c r="E113" s="2" t="s">
        <v>441</v>
      </c>
      <c r="F113" s="2" t="s">
        <v>529</v>
      </c>
      <c r="G113" s="8">
        <v>34225</v>
      </c>
      <c r="H113" s="2" t="s">
        <v>131</v>
      </c>
      <c r="I113" s="2" t="s">
        <v>691</v>
      </c>
    </row>
    <row r="114" spans="1:9" hidden="1" x14ac:dyDescent="0.25">
      <c r="A114" s="2" t="s">
        <v>530</v>
      </c>
      <c r="B114" s="2"/>
      <c r="C114" s="2"/>
      <c r="D114" s="2" t="s">
        <v>460</v>
      </c>
      <c r="E114" s="2" t="s">
        <v>438</v>
      </c>
      <c r="F114" s="2"/>
      <c r="G114" s="2"/>
      <c r="H114" s="2" t="s">
        <v>531</v>
      </c>
      <c r="I114" s="2" t="s">
        <v>692</v>
      </c>
    </row>
    <row r="115" spans="1:9" hidden="1" x14ac:dyDescent="0.25">
      <c r="A115" s="2" t="s">
        <v>532</v>
      </c>
      <c r="B115" s="2" t="s">
        <v>533</v>
      </c>
      <c r="C115" s="2">
        <v>103010</v>
      </c>
      <c r="D115" s="2" t="s">
        <v>534</v>
      </c>
      <c r="E115" s="2" t="s">
        <v>438</v>
      </c>
      <c r="F115" s="2"/>
      <c r="G115" s="2"/>
      <c r="H115" s="2" t="s">
        <v>535</v>
      </c>
      <c r="I115" s="2" t="s">
        <v>693</v>
      </c>
    </row>
    <row r="116" spans="1:9" hidden="1" x14ac:dyDescent="0.25">
      <c r="A116" s="2" t="s">
        <v>536</v>
      </c>
      <c r="B116" s="2"/>
      <c r="C116" s="2"/>
      <c r="D116" s="2"/>
      <c r="E116" s="2" t="s">
        <v>438</v>
      </c>
      <c r="F116" s="2"/>
      <c r="G116" s="2"/>
      <c r="H116" s="2" t="s">
        <v>537</v>
      </c>
      <c r="I116" s="2" t="s">
        <v>538</v>
      </c>
    </row>
    <row r="117" spans="1:9" hidden="1" x14ac:dyDescent="0.25">
      <c r="A117" s="2" t="s">
        <v>316</v>
      </c>
      <c r="B117" s="2" t="s">
        <v>354</v>
      </c>
      <c r="C117" s="2">
        <v>101004</v>
      </c>
      <c r="D117" s="2" t="s">
        <v>539</v>
      </c>
      <c r="E117" s="2" t="s">
        <v>438</v>
      </c>
      <c r="F117" s="2"/>
      <c r="G117" s="2" t="s">
        <v>540</v>
      </c>
      <c r="H117" s="2" t="s">
        <v>390</v>
      </c>
      <c r="I117" s="2" t="s">
        <v>694</v>
      </c>
    </row>
    <row r="118" spans="1:9" hidden="1" x14ac:dyDescent="0.25">
      <c r="A118" s="2" t="s">
        <v>317</v>
      </c>
      <c r="B118" s="2" t="s">
        <v>355</v>
      </c>
      <c r="C118" s="2">
        <v>101003</v>
      </c>
      <c r="D118" s="2" t="s">
        <v>541</v>
      </c>
      <c r="E118" s="2" t="s">
        <v>438</v>
      </c>
      <c r="F118" s="2"/>
      <c r="G118" s="2" t="s">
        <v>540</v>
      </c>
      <c r="H118" s="2" t="s">
        <v>391</v>
      </c>
      <c r="I118" s="2" t="s">
        <v>695</v>
      </c>
    </row>
    <row r="119" spans="1:9" hidden="1" x14ac:dyDescent="0.25">
      <c r="A119" s="2" t="s">
        <v>318</v>
      </c>
      <c r="B119" s="2" t="s">
        <v>356</v>
      </c>
      <c r="C119" s="2">
        <v>103002</v>
      </c>
      <c r="D119" s="2" t="s">
        <v>542</v>
      </c>
      <c r="E119" s="2" t="s">
        <v>438</v>
      </c>
      <c r="F119" s="2"/>
      <c r="G119" s="2" t="s">
        <v>540</v>
      </c>
      <c r="H119" s="2" t="s">
        <v>392</v>
      </c>
      <c r="I119" s="2" t="s">
        <v>696</v>
      </c>
    </row>
    <row r="120" spans="1:9" hidden="1" x14ac:dyDescent="0.25">
      <c r="A120" s="2" t="s">
        <v>319</v>
      </c>
      <c r="B120" s="2" t="s">
        <v>357</v>
      </c>
      <c r="C120" s="2">
        <v>103009</v>
      </c>
      <c r="D120" s="2" t="s">
        <v>439</v>
      </c>
      <c r="E120" s="2" t="s">
        <v>438</v>
      </c>
      <c r="F120" s="2"/>
      <c r="G120" s="2" t="s">
        <v>540</v>
      </c>
      <c r="H120" s="2" t="s">
        <v>393</v>
      </c>
      <c r="I120" s="2" t="s">
        <v>697</v>
      </c>
    </row>
    <row r="121" spans="1:9" hidden="1" x14ac:dyDescent="0.25">
      <c r="A121" s="2" t="s">
        <v>320</v>
      </c>
      <c r="B121" s="2" t="s">
        <v>358</v>
      </c>
      <c r="C121" s="2">
        <v>50000111</v>
      </c>
      <c r="D121" s="2" t="s">
        <v>543</v>
      </c>
      <c r="E121" s="2" t="s">
        <v>438</v>
      </c>
      <c r="F121" s="2"/>
      <c r="G121" s="2" t="s">
        <v>540</v>
      </c>
      <c r="H121" s="2" t="s">
        <v>394</v>
      </c>
      <c r="I121" s="2" t="s">
        <v>698</v>
      </c>
    </row>
    <row r="122" spans="1:9" x14ac:dyDescent="0.25">
      <c r="A122" s="2" t="s">
        <v>321</v>
      </c>
      <c r="B122" s="2" t="s">
        <v>315</v>
      </c>
      <c r="C122" s="2">
        <v>101006</v>
      </c>
      <c r="D122" s="2" t="s">
        <v>469</v>
      </c>
      <c r="E122" s="2" t="s">
        <v>438</v>
      </c>
      <c r="F122" s="2"/>
      <c r="G122" s="2" t="s">
        <v>540</v>
      </c>
      <c r="H122" s="2" t="s">
        <v>395</v>
      </c>
      <c r="I122" s="2" t="s">
        <v>699</v>
      </c>
    </row>
    <row r="123" spans="1:9" hidden="1" x14ac:dyDescent="0.25">
      <c r="A123" s="2" t="s">
        <v>322</v>
      </c>
      <c r="B123" s="2" t="s">
        <v>359</v>
      </c>
      <c r="C123" s="2">
        <v>50000109</v>
      </c>
      <c r="D123" s="2" t="s">
        <v>542</v>
      </c>
      <c r="E123" s="2" t="s">
        <v>438</v>
      </c>
      <c r="F123" s="2"/>
      <c r="G123" s="2" t="s">
        <v>540</v>
      </c>
      <c r="H123" s="2" t="s">
        <v>396</v>
      </c>
      <c r="I123" s="2" t="s">
        <v>700</v>
      </c>
    </row>
    <row r="124" spans="1:9" hidden="1" x14ac:dyDescent="0.25">
      <c r="A124" s="2" t="s">
        <v>323</v>
      </c>
      <c r="B124" s="2" t="s">
        <v>360</v>
      </c>
      <c r="C124" s="2">
        <v>103011</v>
      </c>
      <c r="D124" s="2" t="s">
        <v>439</v>
      </c>
      <c r="E124" s="2" t="s">
        <v>438</v>
      </c>
      <c r="F124" s="2"/>
      <c r="G124" s="2" t="s">
        <v>540</v>
      </c>
      <c r="H124" s="2" t="s">
        <v>397</v>
      </c>
      <c r="I124" s="2" t="s">
        <v>701</v>
      </c>
    </row>
    <row r="125" spans="1:9" hidden="1" x14ac:dyDescent="0.25">
      <c r="A125" s="2" t="s">
        <v>324</v>
      </c>
      <c r="B125" s="2" t="s">
        <v>361</v>
      </c>
      <c r="C125" s="2">
        <v>102002</v>
      </c>
      <c r="D125" s="2" t="s">
        <v>456</v>
      </c>
      <c r="E125" s="2" t="s">
        <v>438</v>
      </c>
      <c r="F125" s="2"/>
      <c r="G125" s="2" t="s">
        <v>540</v>
      </c>
      <c r="H125" s="2" t="s">
        <v>398</v>
      </c>
      <c r="I125" s="2" t="s">
        <v>702</v>
      </c>
    </row>
    <row r="126" spans="1:9" hidden="1" x14ac:dyDescent="0.25">
      <c r="A126" s="2" t="s">
        <v>325</v>
      </c>
      <c r="B126" s="2" t="s">
        <v>362</v>
      </c>
      <c r="C126" s="2">
        <v>103010</v>
      </c>
      <c r="D126" s="2" t="s">
        <v>439</v>
      </c>
      <c r="E126" s="2" t="s">
        <v>438</v>
      </c>
      <c r="F126" s="2"/>
      <c r="G126" s="2" t="s">
        <v>540</v>
      </c>
      <c r="H126" s="2" t="s">
        <v>399</v>
      </c>
      <c r="I126" s="2" t="s">
        <v>703</v>
      </c>
    </row>
    <row r="127" spans="1:9" hidden="1" x14ac:dyDescent="0.25">
      <c r="A127" s="2" t="s">
        <v>326</v>
      </c>
      <c r="B127" s="2" t="s">
        <v>363</v>
      </c>
      <c r="C127" s="2">
        <v>103002</v>
      </c>
      <c r="D127" s="2" t="s">
        <v>544</v>
      </c>
      <c r="E127" s="2" t="s">
        <v>438</v>
      </c>
      <c r="F127" s="2"/>
      <c r="G127" s="2" t="s">
        <v>540</v>
      </c>
      <c r="H127" s="2" t="s">
        <v>400</v>
      </c>
      <c r="I127" s="2" t="s">
        <v>704</v>
      </c>
    </row>
    <row r="128" spans="1:9" hidden="1" x14ac:dyDescent="0.25">
      <c r="A128" s="2" t="s">
        <v>327</v>
      </c>
      <c r="B128" s="2" t="s">
        <v>364</v>
      </c>
      <c r="C128" s="2">
        <v>103010</v>
      </c>
      <c r="D128" s="2" t="s">
        <v>439</v>
      </c>
      <c r="E128" s="2" t="s">
        <v>438</v>
      </c>
      <c r="F128" s="2"/>
      <c r="G128" s="2" t="s">
        <v>540</v>
      </c>
      <c r="H128" s="2" t="s">
        <v>401</v>
      </c>
      <c r="I128" s="2" t="s">
        <v>705</v>
      </c>
    </row>
    <row r="129" spans="1:9" hidden="1" x14ac:dyDescent="0.25">
      <c r="A129" s="2" t="s">
        <v>328</v>
      </c>
      <c r="B129" s="2" t="s">
        <v>365</v>
      </c>
      <c r="C129" s="2">
        <v>101004</v>
      </c>
      <c r="D129" s="2" t="s">
        <v>470</v>
      </c>
      <c r="E129" s="2" t="s">
        <v>438</v>
      </c>
      <c r="F129" s="2"/>
      <c r="G129" s="2" t="s">
        <v>540</v>
      </c>
      <c r="H129" s="2" t="s">
        <v>402</v>
      </c>
      <c r="I129" s="2" t="s">
        <v>706</v>
      </c>
    </row>
    <row r="130" spans="1:9" hidden="1" x14ac:dyDescent="0.25">
      <c r="A130" s="2" t="s">
        <v>329</v>
      </c>
      <c r="B130" s="2" t="s">
        <v>366</v>
      </c>
      <c r="C130" s="2">
        <v>50000111</v>
      </c>
      <c r="D130" s="2" t="s">
        <v>543</v>
      </c>
      <c r="E130" s="2" t="s">
        <v>438</v>
      </c>
      <c r="F130" s="2"/>
      <c r="G130" s="2" t="s">
        <v>540</v>
      </c>
      <c r="H130" s="2" t="s">
        <v>403</v>
      </c>
      <c r="I130" s="2" t="s">
        <v>707</v>
      </c>
    </row>
    <row r="131" spans="1:9" hidden="1" x14ac:dyDescent="0.25">
      <c r="A131" s="2" t="s">
        <v>330</v>
      </c>
      <c r="B131" s="2" t="s">
        <v>367</v>
      </c>
      <c r="C131" s="2">
        <v>50000111</v>
      </c>
      <c r="D131" s="2" t="s">
        <v>545</v>
      </c>
      <c r="E131" s="2" t="s">
        <v>438</v>
      </c>
      <c r="F131" s="2"/>
      <c r="G131" s="2" t="s">
        <v>540</v>
      </c>
      <c r="H131" s="2" t="s">
        <v>404</v>
      </c>
      <c r="I131" s="2" t="s">
        <v>708</v>
      </c>
    </row>
    <row r="132" spans="1:9" hidden="1" x14ac:dyDescent="0.25">
      <c r="A132" s="2" t="s">
        <v>331</v>
      </c>
      <c r="B132" s="2" t="s">
        <v>368</v>
      </c>
      <c r="C132" s="2">
        <v>101004</v>
      </c>
      <c r="D132" s="2" t="s">
        <v>539</v>
      </c>
      <c r="E132" s="2" t="s">
        <v>438</v>
      </c>
      <c r="F132" s="2"/>
      <c r="G132" s="2" t="s">
        <v>540</v>
      </c>
      <c r="H132" s="2" t="s">
        <v>405</v>
      </c>
      <c r="I132" s="2" t="s">
        <v>709</v>
      </c>
    </row>
    <row r="133" spans="1:9" hidden="1" x14ac:dyDescent="0.25">
      <c r="A133" s="2" t="s">
        <v>332</v>
      </c>
      <c r="B133" s="2" t="s">
        <v>369</v>
      </c>
      <c r="C133" s="2">
        <v>103003</v>
      </c>
      <c r="D133" s="2" t="s">
        <v>546</v>
      </c>
      <c r="E133" s="2" t="s">
        <v>438</v>
      </c>
      <c r="F133" s="2"/>
      <c r="G133" s="2" t="s">
        <v>540</v>
      </c>
      <c r="H133" s="2" t="s">
        <v>406</v>
      </c>
      <c r="I133" s="2" t="s">
        <v>710</v>
      </c>
    </row>
    <row r="134" spans="1:9" hidden="1" x14ac:dyDescent="0.25">
      <c r="A134" s="2" t="s">
        <v>333</v>
      </c>
      <c r="B134" s="2" t="s">
        <v>370</v>
      </c>
      <c r="C134" s="2">
        <v>101004</v>
      </c>
      <c r="D134" s="2" t="s">
        <v>547</v>
      </c>
      <c r="E134" s="2" t="s">
        <v>438</v>
      </c>
      <c r="F134" s="2"/>
      <c r="G134" s="2" t="s">
        <v>540</v>
      </c>
      <c r="H134" s="2" t="s">
        <v>407</v>
      </c>
      <c r="I134" s="2" t="s">
        <v>711</v>
      </c>
    </row>
    <row r="135" spans="1:9" hidden="1" x14ac:dyDescent="0.25">
      <c r="A135" s="2" t="s">
        <v>334</v>
      </c>
      <c r="B135" s="2" t="s">
        <v>371</v>
      </c>
      <c r="C135" s="2">
        <v>101004</v>
      </c>
      <c r="D135" s="2" t="s">
        <v>548</v>
      </c>
      <c r="E135" s="2" t="s">
        <v>438</v>
      </c>
      <c r="F135" s="2"/>
      <c r="G135" s="2" t="s">
        <v>540</v>
      </c>
      <c r="H135" s="2" t="s">
        <v>408</v>
      </c>
      <c r="I135" s="2" t="s">
        <v>712</v>
      </c>
    </row>
    <row r="136" spans="1:9" hidden="1" x14ac:dyDescent="0.25">
      <c r="A136" s="2" t="s">
        <v>335</v>
      </c>
      <c r="B136" s="2" t="s">
        <v>372</v>
      </c>
      <c r="C136" s="2">
        <v>50000111</v>
      </c>
      <c r="D136" s="2" t="s">
        <v>543</v>
      </c>
      <c r="E136" s="2" t="s">
        <v>438</v>
      </c>
      <c r="F136" s="2"/>
      <c r="G136" s="2" t="s">
        <v>540</v>
      </c>
      <c r="H136" s="2" t="s">
        <v>409</v>
      </c>
      <c r="I136" s="2" t="s">
        <v>713</v>
      </c>
    </row>
    <row r="137" spans="1:9" hidden="1" x14ac:dyDescent="0.25">
      <c r="A137" s="2" t="s">
        <v>336</v>
      </c>
      <c r="B137" s="2" t="s">
        <v>373</v>
      </c>
      <c r="C137" s="2">
        <v>50000109</v>
      </c>
      <c r="D137" s="2" t="s">
        <v>549</v>
      </c>
      <c r="E137" s="2" t="s">
        <v>438</v>
      </c>
      <c r="F137" s="2"/>
      <c r="G137" s="2" t="s">
        <v>540</v>
      </c>
      <c r="H137" s="2" t="s">
        <v>410</v>
      </c>
      <c r="I137" s="2" t="s">
        <v>714</v>
      </c>
    </row>
    <row r="138" spans="1:9" hidden="1" x14ac:dyDescent="0.25">
      <c r="A138" s="2" t="s">
        <v>337</v>
      </c>
      <c r="B138" s="2" t="s">
        <v>374</v>
      </c>
      <c r="C138" s="2">
        <v>50000109</v>
      </c>
      <c r="D138" s="2" t="s">
        <v>439</v>
      </c>
      <c r="E138" s="2" t="s">
        <v>438</v>
      </c>
      <c r="F138" s="2"/>
      <c r="G138" s="2" t="s">
        <v>540</v>
      </c>
      <c r="H138" s="2" t="s">
        <v>411</v>
      </c>
      <c r="I138" s="2" t="s">
        <v>715</v>
      </c>
    </row>
    <row r="139" spans="1:9" hidden="1" x14ac:dyDescent="0.25">
      <c r="A139" s="2" t="s">
        <v>338</v>
      </c>
      <c r="B139" s="2" t="s">
        <v>375</v>
      </c>
      <c r="C139" s="2">
        <v>103003</v>
      </c>
      <c r="D139" s="2" t="s">
        <v>550</v>
      </c>
      <c r="E139" s="2" t="s">
        <v>438</v>
      </c>
      <c r="F139" s="2"/>
      <c r="G139" s="2" t="s">
        <v>540</v>
      </c>
      <c r="H139" s="2" t="s">
        <v>412</v>
      </c>
      <c r="I139" s="2" t="s">
        <v>716</v>
      </c>
    </row>
    <row r="140" spans="1:9" hidden="1" x14ac:dyDescent="0.25">
      <c r="A140" s="2" t="s">
        <v>339</v>
      </c>
      <c r="B140" s="2" t="s">
        <v>376</v>
      </c>
      <c r="C140" s="2">
        <v>102002</v>
      </c>
      <c r="D140" s="2" t="s">
        <v>551</v>
      </c>
      <c r="E140" s="2" t="s">
        <v>438</v>
      </c>
      <c r="F140" s="2"/>
      <c r="G140" s="2" t="s">
        <v>540</v>
      </c>
      <c r="H140" s="2" t="s">
        <v>413</v>
      </c>
      <c r="I140" s="2" t="s">
        <v>717</v>
      </c>
    </row>
    <row r="141" spans="1:9" hidden="1" x14ac:dyDescent="0.25">
      <c r="A141" s="2" t="s">
        <v>340</v>
      </c>
      <c r="B141" s="2" t="s">
        <v>377</v>
      </c>
      <c r="C141" s="2">
        <v>103011</v>
      </c>
      <c r="D141" s="2" t="s">
        <v>539</v>
      </c>
      <c r="E141" s="2" t="s">
        <v>438</v>
      </c>
      <c r="F141" s="2"/>
      <c r="G141" s="2" t="s">
        <v>540</v>
      </c>
      <c r="H141" s="2" t="s">
        <v>414</v>
      </c>
      <c r="I141" s="2" t="s">
        <v>718</v>
      </c>
    </row>
    <row r="142" spans="1:9" hidden="1" x14ac:dyDescent="0.25">
      <c r="A142" s="2" t="s">
        <v>341</v>
      </c>
      <c r="B142" s="2" t="s">
        <v>378</v>
      </c>
      <c r="C142" s="2">
        <v>50000111</v>
      </c>
      <c r="D142" s="2" t="s">
        <v>543</v>
      </c>
      <c r="E142" s="2" t="s">
        <v>438</v>
      </c>
      <c r="F142" s="2"/>
      <c r="G142" s="2" t="s">
        <v>540</v>
      </c>
      <c r="H142" s="2" t="s">
        <v>415</v>
      </c>
      <c r="I142" s="2" t="s">
        <v>719</v>
      </c>
    </row>
    <row r="143" spans="1:9" hidden="1" x14ac:dyDescent="0.25">
      <c r="A143" s="2" t="s">
        <v>342</v>
      </c>
      <c r="B143" s="2" t="s">
        <v>379</v>
      </c>
      <c r="C143" s="2">
        <v>103010</v>
      </c>
      <c r="D143" s="2" t="s">
        <v>552</v>
      </c>
      <c r="E143" s="2" t="s">
        <v>438</v>
      </c>
      <c r="F143" s="2"/>
      <c r="G143" s="2" t="s">
        <v>540</v>
      </c>
      <c r="H143" s="2" t="s">
        <v>416</v>
      </c>
      <c r="I143" s="2" t="s">
        <v>720</v>
      </c>
    </row>
    <row r="144" spans="1:9" hidden="1" x14ac:dyDescent="0.25">
      <c r="A144" s="2" t="s">
        <v>343</v>
      </c>
      <c r="B144" s="2" t="s">
        <v>380</v>
      </c>
      <c r="C144" s="2">
        <v>103009</v>
      </c>
      <c r="D144" s="2" t="s">
        <v>553</v>
      </c>
      <c r="E144" s="2" t="s">
        <v>438</v>
      </c>
      <c r="F144" s="2"/>
      <c r="G144" s="2" t="s">
        <v>540</v>
      </c>
      <c r="H144" s="2" t="s">
        <v>417</v>
      </c>
      <c r="I144" s="2" t="s">
        <v>721</v>
      </c>
    </row>
    <row r="145" spans="1:9" hidden="1" x14ac:dyDescent="0.25">
      <c r="A145" s="2" t="s">
        <v>344</v>
      </c>
      <c r="B145" s="2" t="s">
        <v>381</v>
      </c>
      <c r="C145" s="2">
        <v>103009</v>
      </c>
      <c r="D145" s="2" t="s">
        <v>439</v>
      </c>
      <c r="E145" s="2" t="s">
        <v>438</v>
      </c>
      <c r="F145" s="2"/>
      <c r="G145" s="2" t="s">
        <v>540</v>
      </c>
      <c r="H145" s="2" t="s">
        <v>418</v>
      </c>
      <c r="I145" s="2" t="s">
        <v>722</v>
      </c>
    </row>
    <row r="146" spans="1:9" hidden="1" x14ac:dyDescent="0.25">
      <c r="A146" s="2" t="s">
        <v>345</v>
      </c>
      <c r="B146" s="2" t="s">
        <v>382</v>
      </c>
      <c r="C146" s="2">
        <v>103002</v>
      </c>
      <c r="D146" s="2" t="s">
        <v>554</v>
      </c>
      <c r="E146" s="2" t="s">
        <v>438</v>
      </c>
      <c r="F146" s="2"/>
      <c r="G146" s="2" t="s">
        <v>540</v>
      </c>
      <c r="H146" s="2" t="s">
        <v>419</v>
      </c>
      <c r="I146" s="2" t="s">
        <v>723</v>
      </c>
    </row>
    <row r="147" spans="1:9" hidden="1" x14ac:dyDescent="0.25">
      <c r="A147" s="2" t="s">
        <v>346</v>
      </c>
      <c r="B147" s="2" t="s">
        <v>383</v>
      </c>
      <c r="C147" s="2">
        <v>103011</v>
      </c>
      <c r="D147" s="2" t="s">
        <v>555</v>
      </c>
      <c r="E147" s="2" t="s">
        <v>438</v>
      </c>
      <c r="F147" s="2"/>
      <c r="G147" s="2" t="s">
        <v>540</v>
      </c>
      <c r="H147" s="2" t="s">
        <v>420</v>
      </c>
      <c r="I147" s="2" t="s">
        <v>724</v>
      </c>
    </row>
    <row r="148" spans="1:9" hidden="1" x14ac:dyDescent="0.25">
      <c r="A148" s="2" t="s">
        <v>347</v>
      </c>
      <c r="B148" s="2" t="s">
        <v>384</v>
      </c>
      <c r="C148" s="2">
        <v>103002</v>
      </c>
      <c r="D148" s="2" t="s">
        <v>542</v>
      </c>
      <c r="E148" s="2" t="s">
        <v>438</v>
      </c>
      <c r="F148" s="2"/>
      <c r="G148" s="2" t="s">
        <v>540</v>
      </c>
      <c r="H148" s="2" t="s">
        <v>421</v>
      </c>
      <c r="I148" s="2" t="s">
        <v>725</v>
      </c>
    </row>
    <row r="149" spans="1:9" hidden="1" x14ac:dyDescent="0.25">
      <c r="A149" s="2" t="s">
        <v>348</v>
      </c>
      <c r="B149" s="2" t="s">
        <v>385</v>
      </c>
      <c r="C149" s="2">
        <v>101004</v>
      </c>
      <c r="D149" s="2" t="s">
        <v>548</v>
      </c>
      <c r="E149" s="2" t="s">
        <v>438</v>
      </c>
      <c r="F149" s="2"/>
      <c r="G149" s="2" t="s">
        <v>540</v>
      </c>
      <c r="H149" s="2" t="s">
        <v>422</v>
      </c>
      <c r="I149" s="2" t="s">
        <v>726</v>
      </c>
    </row>
    <row r="150" spans="1:9" hidden="1" x14ac:dyDescent="0.25">
      <c r="A150" s="2" t="s">
        <v>349</v>
      </c>
      <c r="B150" s="2" t="s">
        <v>386</v>
      </c>
      <c r="C150" s="2">
        <v>103009</v>
      </c>
      <c r="D150" s="2" t="s">
        <v>556</v>
      </c>
      <c r="E150" s="2" t="s">
        <v>438</v>
      </c>
      <c r="F150" s="2"/>
      <c r="G150" s="2" t="s">
        <v>540</v>
      </c>
      <c r="H150" s="2" t="s">
        <v>423</v>
      </c>
      <c r="I150" s="2" t="s">
        <v>727</v>
      </c>
    </row>
    <row r="151" spans="1:9" hidden="1" x14ac:dyDescent="0.25">
      <c r="A151" s="2" t="s">
        <v>350</v>
      </c>
      <c r="B151" s="2" t="s">
        <v>387</v>
      </c>
      <c r="C151" s="2">
        <v>103010</v>
      </c>
      <c r="D151" s="2" t="s">
        <v>557</v>
      </c>
      <c r="E151" s="2" t="s">
        <v>438</v>
      </c>
      <c r="F151" s="2"/>
      <c r="G151" s="2" t="s">
        <v>540</v>
      </c>
      <c r="H151" s="2" t="s">
        <v>424</v>
      </c>
      <c r="I151" s="2" t="s">
        <v>728</v>
      </c>
    </row>
    <row r="152" spans="1:9" hidden="1" x14ac:dyDescent="0.25">
      <c r="A152" s="2" t="s">
        <v>351</v>
      </c>
      <c r="B152" s="2" t="s">
        <v>388</v>
      </c>
      <c r="C152" s="2">
        <v>101001</v>
      </c>
      <c r="D152" s="2" t="s">
        <v>450</v>
      </c>
      <c r="E152" s="2" t="s">
        <v>438</v>
      </c>
      <c r="F152" s="2"/>
      <c r="G152" s="2" t="s">
        <v>540</v>
      </c>
      <c r="H152" s="2" t="s">
        <v>425</v>
      </c>
      <c r="I152" s="2" t="s">
        <v>729</v>
      </c>
    </row>
    <row r="153" spans="1:9" hidden="1" x14ac:dyDescent="0.25">
      <c r="A153" s="2" t="s">
        <v>352</v>
      </c>
      <c r="B153" s="2" t="s">
        <v>282</v>
      </c>
      <c r="C153" s="2">
        <v>103015</v>
      </c>
      <c r="D153" s="2" t="s">
        <v>558</v>
      </c>
      <c r="E153" s="2" t="s">
        <v>438</v>
      </c>
      <c r="F153" s="2"/>
      <c r="G153" s="2" t="s">
        <v>540</v>
      </c>
      <c r="H153" s="2" t="s">
        <v>283</v>
      </c>
      <c r="I153" s="2" t="s">
        <v>730</v>
      </c>
    </row>
    <row r="154" spans="1:9" hidden="1" x14ac:dyDescent="0.25">
      <c r="A154" s="2" t="s">
        <v>353</v>
      </c>
      <c r="B154" s="2" t="s">
        <v>389</v>
      </c>
      <c r="C154" s="2">
        <v>103010</v>
      </c>
      <c r="D154" s="2" t="s">
        <v>460</v>
      </c>
      <c r="E154" s="2" t="s">
        <v>438</v>
      </c>
      <c r="F154" s="2"/>
      <c r="G154" s="2" t="s">
        <v>540</v>
      </c>
      <c r="H154" s="2" t="s">
        <v>426</v>
      </c>
      <c r="I154" s="2" t="s">
        <v>731</v>
      </c>
    </row>
  </sheetData>
  <autoFilter ref="A1:I154" xr:uid="{B8B726D6-E6C8-419A-9A13-E87AFC61FED8}">
    <filterColumn colId="0">
      <filters>
        <filter val="Antonio Aloisio Ferreira do Santos Filho"/>
        <filter val="Antonio Aloisio Ferreira dos Santos Filho"/>
        <filter val="Luciano Aparecido Bastos"/>
        <filter val="Thiago Santana de Oliveira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FF41-FE38-442B-8F1A-E5C01AF500AB}">
  <sheetPr filterMode="1"/>
  <dimension ref="A1:M155"/>
  <sheetViews>
    <sheetView workbookViewId="0">
      <selection activeCell="B156" sqref="B156"/>
    </sheetView>
  </sheetViews>
  <sheetFormatPr defaultRowHeight="15" x14ac:dyDescent="0.25"/>
  <cols>
    <col min="2" max="2" width="39.85546875" bestFit="1" customWidth="1"/>
  </cols>
  <sheetData>
    <row r="1" spans="1:13" x14ac:dyDescent="0.25">
      <c r="A1" t="s">
        <v>559</v>
      </c>
      <c r="B1" t="s">
        <v>2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  <c r="K1" t="s">
        <v>568</v>
      </c>
      <c r="L1" t="s">
        <v>735</v>
      </c>
      <c r="M1" t="s">
        <v>738</v>
      </c>
    </row>
    <row r="2" spans="1:13" hidden="1" x14ac:dyDescent="0.25">
      <c r="A2" s="2" t="s">
        <v>71</v>
      </c>
      <c r="B2" s="2" t="s">
        <v>290</v>
      </c>
      <c r="C2" s="2">
        <v>101004</v>
      </c>
      <c r="D2" s="2" t="s">
        <v>437</v>
      </c>
      <c r="E2" s="2" t="s">
        <v>438</v>
      </c>
      <c r="F2" s="2"/>
      <c r="G2" s="2"/>
      <c r="H2" s="2" t="s">
        <v>116</v>
      </c>
      <c r="I2" s="2" t="s">
        <v>734</v>
      </c>
      <c r="J2" t="str">
        <f ca="1">TEXT(RANDBETWEEN(1,999),"000") &amp; LEFT(H2,1) &amp; MID(H2,FIND(".",H2,1)+1,1) &amp; "!@"</f>
        <v>887wf!@</v>
      </c>
      <c r="K2" t="str">
        <f>"Update QuestRH_Pessoas set Senha = '" &amp; I2 &amp; "' Where Nome = '" &amp; A2 &amp; "';"</f>
        <v>Update QuestRH_Pessoas set Senha = '571wf!@' Where Nome = 'Wilson Tassinari Fernandes';</v>
      </c>
      <c r="L2" s="2" t="s">
        <v>734</v>
      </c>
    </row>
    <row r="3" spans="1:13" hidden="1" x14ac:dyDescent="0.25">
      <c r="A3" s="2" t="s">
        <v>77</v>
      </c>
      <c r="B3" s="2" t="s">
        <v>289</v>
      </c>
      <c r="C3" s="2">
        <v>101004</v>
      </c>
      <c r="D3" s="2" t="s">
        <v>437</v>
      </c>
      <c r="E3" s="2" t="s">
        <v>438</v>
      </c>
      <c r="F3" s="2"/>
      <c r="G3" s="2"/>
      <c r="H3" s="2" t="s">
        <v>115</v>
      </c>
      <c r="I3" s="2" t="s">
        <v>580</v>
      </c>
      <c r="J3" t="str">
        <f t="shared" ref="J3:J66" ca="1" si="0">TEXT(RANDBETWEEN(1,999),"000") &amp; LEFT(H3,1) &amp; MID(H3,FIND(".",H3,1)+1,1) &amp; "!@"</f>
        <v>372wc!@</v>
      </c>
      <c r="K3" t="str">
        <f t="shared" ref="K3:K66" si="1">"Update QuestRH_Pessoas set Senha = '" &amp; I3 &amp; "' Where Nome = '" &amp; A3 &amp; "';"</f>
        <v>Update QuestRH_Pessoas set Senha = '370wc!@' Where Nome = 'Weslley Chaves da Costa';</v>
      </c>
      <c r="L3" s="2" t="s">
        <v>580</v>
      </c>
    </row>
    <row r="4" spans="1:13" hidden="1" x14ac:dyDescent="0.25">
      <c r="A4" s="2" t="s">
        <v>257</v>
      </c>
      <c r="B4" s="2" t="s">
        <v>288</v>
      </c>
      <c r="C4" s="2">
        <v>102003</v>
      </c>
      <c r="D4" s="2" t="s">
        <v>439</v>
      </c>
      <c r="E4" s="2" t="s">
        <v>438</v>
      </c>
      <c r="F4" s="2"/>
      <c r="G4" s="2"/>
      <c r="H4" s="2" t="s">
        <v>259</v>
      </c>
      <c r="I4" s="2" t="s">
        <v>581</v>
      </c>
      <c r="J4" t="str">
        <f t="shared" ca="1" si="0"/>
        <v>872ws!@</v>
      </c>
      <c r="K4" t="str">
        <f t="shared" si="1"/>
        <v>Update QuestRH_Pessoas set Senha = '799ws!@' Where Nome = 'Weshiley Andrade Miranda da Silva';</v>
      </c>
      <c r="L4" s="2" t="s">
        <v>581</v>
      </c>
    </row>
    <row r="5" spans="1:13" hidden="1" x14ac:dyDescent="0.25">
      <c r="A5" s="2" t="s">
        <v>15</v>
      </c>
      <c r="B5" s="2" t="s">
        <v>287</v>
      </c>
      <c r="C5" s="2">
        <v>101004</v>
      </c>
      <c r="D5" s="2" t="s">
        <v>437</v>
      </c>
      <c r="E5" s="2" t="s">
        <v>438</v>
      </c>
      <c r="F5" s="2"/>
      <c r="G5" s="2"/>
      <c r="H5" s="2" t="s">
        <v>114</v>
      </c>
      <c r="I5" s="2" t="s">
        <v>582</v>
      </c>
      <c r="J5" t="str">
        <f t="shared" ca="1" si="0"/>
        <v>546wm!@</v>
      </c>
      <c r="K5" t="str">
        <f t="shared" si="1"/>
        <v>Update QuestRH_Pessoas set Senha = '965wm!@' Where Nome = 'Welton Leandro Saldanha Martins';</v>
      </c>
      <c r="L5" s="2" t="s">
        <v>582</v>
      </c>
    </row>
    <row r="6" spans="1:13" hidden="1" x14ac:dyDescent="0.25">
      <c r="A6" s="2" t="s">
        <v>272</v>
      </c>
      <c r="B6" s="2" t="s">
        <v>286</v>
      </c>
      <c r="C6" s="2">
        <v>103014</v>
      </c>
      <c r="D6" s="2" t="s">
        <v>440</v>
      </c>
      <c r="E6" s="2" t="s">
        <v>441</v>
      </c>
      <c r="F6" s="2"/>
      <c r="G6" s="2"/>
      <c r="H6" s="2" t="s">
        <v>273</v>
      </c>
      <c r="I6" s="2" t="s">
        <v>583</v>
      </c>
      <c r="J6" t="str">
        <f t="shared" ca="1" si="0"/>
        <v>743wf!@</v>
      </c>
      <c r="K6" t="str">
        <f t="shared" si="1"/>
        <v>Update QuestRH_Pessoas set Senha = '260wf!@' Where Nome = 'Wagner Souza Ferreira';</v>
      </c>
      <c r="L6" s="2" t="s">
        <v>583</v>
      </c>
    </row>
    <row r="7" spans="1:13" hidden="1" x14ac:dyDescent="0.25">
      <c r="A7" s="2" t="s">
        <v>291</v>
      </c>
      <c r="B7" s="2" t="s">
        <v>292</v>
      </c>
      <c r="C7" s="2">
        <v>101011</v>
      </c>
      <c r="D7" s="2" t="s">
        <v>437</v>
      </c>
      <c r="E7" s="2" t="s">
        <v>438</v>
      </c>
      <c r="F7" s="2"/>
      <c r="G7" s="2"/>
      <c r="H7" s="2" t="s">
        <v>304</v>
      </c>
      <c r="I7" s="2" t="s">
        <v>584</v>
      </c>
      <c r="J7" t="str">
        <f t="shared" ca="1" si="0"/>
        <v>303wc!@</v>
      </c>
      <c r="K7" t="str">
        <f t="shared" si="1"/>
        <v>Update QuestRH_Pessoas set Senha = '996wc!@' Where Nome = 'Wiringhton Cristal Araujo';</v>
      </c>
      <c r="L7" s="2" t="s">
        <v>584</v>
      </c>
    </row>
    <row r="8" spans="1:13" hidden="1" x14ac:dyDescent="0.25">
      <c r="A8" s="2" t="s">
        <v>266</v>
      </c>
      <c r="B8" s="2" t="s">
        <v>284</v>
      </c>
      <c r="C8" s="2">
        <v>103015</v>
      </c>
      <c r="D8" s="2" t="s">
        <v>442</v>
      </c>
      <c r="E8" s="2" t="s">
        <v>438</v>
      </c>
      <c r="F8" s="2"/>
      <c r="G8" s="2"/>
      <c r="H8" s="2" t="s">
        <v>267</v>
      </c>
      <c r="I8" s="2" t="s">
        <v>585</v>
      </c>
      <c r="J8" t="str">
        <f t="shared" ca="1" si="0"/>
        <v>536vx!@</v>
      </c>
      <c r="K8" t="str">
        <f t="shared" si="1"/>
        <v>Update QuestRH_Pessoas set Senha = '790vx!@' Where Nome = 'Vinicius Silva Xisto';</v>
      </c>
      <c r="L8" s="2" t="s">
        <v>585</v>
      </c>
    </row>
    <row r="9" spans="1:13" hidden="1" x14ac:dyDescent="0.25">
      <c r="A9" s="2" t="s">
        <v>31</v>
      </c>
      <c r="B9" s="2" t="s">
        <v>280</v>
      </c>
      <c r="C9" s="2">
        <v>101001</v>
      </c>
      <c r="D9" s="2" t="s">
        <v>439</v>
      </c>
      <c r="E9" s="2" t="s">
        <v>438</v>
      </c>
      <c r="F9" s="2"/>
      <c r="G9" s="2"/>
      <c r="H9" s="2" t="s">
        <v>249</v>
      </c>
      <c r="I9" s="2" t="s">
        <v>586</v>
      </c>
      <c r="J9" t="str">
        <f t="shared" ca="1" si="0"/>
        <v>973vs!@</v>
      </c>
      <c r="K9" t="str">
        <f t="shared" si="1"/>
        <v>Update QuestRH_Pessoas set Senha = '110vs!@' Where Nome = 'Valeria Carvalho Souza';</v>
      </c>
      <c r="L9" s="2" t="s">
        <v>586</v>
      </c>
    </row>
    <row r="10" spans="1:13" hidden="1" x14ac:dyDescent="0.25">
      <c r="A10" s="2" t="s">
        <v>277</v>
      </c>
      <c r="B10" s="2" t="s">
        <v>278</v>
      </c>
      <c r="C10" s="2">
        <v>50000996</v>
      </c>
      <c r="D10" s="2" t="s">
        <v>443</v>
      </c>
      <c r="E10" s="2" t="s">
        <v>441</v>
      </c>
      <c r="F10" s="2"/>
      <c r="G10" s="2"/>
      <c r="H10" s="2" t="s">
        <v>279</v>
      </c>
      <c r="I10" s="2" t="s">
        <v>587</v>
      </c>
      <c r="J10" t="str">
        <f t="shared" ca="1" si="0"/>
        <v>969ub!@</v>
      </c>
      <c r="K10" t="str">
        <f t="shared" si="1"/>
        <v>Update QuestRH_Pessoas set Senha = '868ub!@' Where Nome = 'Ubiara Athaide dos Santos Batista';</v>
      </c>
      <c r="L10" s="2" t="s">
        <v>587</v>
      </c>
    </row>
    <row r="11" spans="1:13" hidden="1" x14ac:dyDescent="0.25">
      <c r="A11" s="2" t="s">
        <v>94</v>
      </c>
      <c r="B11" s="2" t="s">
        <v>271</v>
      </c>
      <c r="C11" s="2">
        <v>103014</v>
      </c>
      <c r="D11" s="2" t="s">
        <v>437</v>
      </c>
      <c r="E11" s="2" t="s">
        <v>438</v>
      </c>
      <c r="F11" s="2"/>
      <c r="G11" s="2"/>
      <c r="H11" s="2" t="s">
        <v>119</v>
      </c>
      <c r="I11" s="2" t="s">
        <v>588</v>
      </c>
      <c r="J11" t="str">
        <f t="shared" ca="1" si="0"/>
        <v>760to!@</v>
      </c>
      <c r="K11" t="str">
        <f t="shared" si="1"/>
        <v>Update QuestRH_Pessoas set Senha = '891to!@' Where Nome = 'Thiago Santana de Oliveira';</v>
      </c>
      <c r="L11" s="2" t="s">
        <v>588</v>
      </c>
    </row>
    <row r="12" spans="1:13" hidden="1" x14ac:dyDescent="0.25">
      <c r="A12" s="2" t="s">
        <v>268</v>
      </c>
      <c r="B12" s="2" t="s">
        <v>269</v>
      </c>
      <c r="C12" s="2">
        <v>101001</v>
      </c>
      <c r="D12" s="2" t="s">
        <v>444</v>
      </c>
      <c r="E12" s="2" t="s">
        <v>438</v>
      </c>
      <c r="F12" s="2"/>
      <c r="G12" s="2"/>
      <c r="H12" s="2" t="s">
        <v>270</v>
      </c>
      <c r="I12" s="2" t="s">
        <v>589</v>
      </c>
      <c r="J12" t="str">
        <f t="shared" ca="1" si="0"/>
        <v>532ta!@</v>
      </c>
      <c r="K12" t="str">
        <f t="shared" si="1"/>
        <v>Update QuestRH_Pessoas set Senha = '371ta!@' Where Nome = 'Thelma Christina de Oliveira Alves';</v>
      </c>
      <c r="L12" s="2" t="s">
        <v>589</v>
      </c>
    </row>
    <row r="13" spans="1:13" hidden="1" x14ac:dyDescent="0.25">
      <c r="A13" s="2" t="s">
        <v>52</v>
      </c>
      <c r="B13" s="2" t="s">
        <v>264</v>
      </c>
      <c r="C13" s="2">
        <v>101004</v>
      </c>
      <c r="D13" s="2" t="s">
        <v>439</v>
      </c>
      <c r="E13" s="2" t="s">
        <v>438</v>
      </c>
      <c r="F13" s="2"/>
      <c r="G13" s="2"/>
      <c r="H13" s="2" t="s">
        <v>265</v>
      </c>
      <c r="I13" s="2" t="s">
        <v>590</v>
      </c>
      <c r="J13" t="str">
        <f t="shared" ca="1" si="0"/>
        <v>140ta!@</v>
      </c>
      <c r="K13" t="str">
        <f t="shared" si="1"/>
        <v>Update QuestRH_Pessoas set Senha = '751ta!@' Where Nome = 'Maria Thais Moreira Alves';</v>
      </c>
      <c r="L13" s="2" t="s">
        <v>590</v>
      </c>
    </row>
    <row r="14" spans="1:13" hidden="1" x14ac:dyDescent="0.25">
      <c r="A14" s="2" t="s">
        <v>220</v>
      </c>
      <c r="B14" s="2" t="s">
        <v>263</v>
      </c>
      <c r="C14" s="2">
        <v>103009</v>
      </c>
      <c r="D14" s="2" t="s">
        <v>445</v>
      </c>
      <c r="E14" s="2" t="s">
        <v>438</v>
      </c>
      <c r="F14" s="2"/>
      <c r="G14" s="2"/>
      <c r="H14" s="2" t="s">
        <v>221</v>
      </c>
      <c r="I14" s="2" t="s">
        <v>591</v>
      </c>
      <c r="J14" t="str">
        <f t="shared" ca="1" si="0"/>
        <v>854tp!@</v>
      </c>
      <c r="K14" t="str">
        <f t="shared" si="1"/>
        <v>Update QuestRH_Pessoas set Senha = '924tp!@' Where Nome = 'Talita Moura Peixoto';</v>
      </c>
      <c r="L14" s="2" t="s">
        <v>591</v>
      </c>
    </row>
    <row r="15" spans="1:13" hidden="1" x14ac:dyDescent="0.25">
      <c r="A15" s="2" t="s">
        <v>260</v>
      </c>
      <c r="B15" s="2" t="s">
        <v>261</v>
      </c>
      <c r="C15" s="2">
        <v>50000118</v>
      </c>
      <c r="D15" s="2" t="s">
        <v>446</v>
      </c>
      <c r="E15" s="2" t="s">
        <v>441</v>
      </c>
      <c r="F15" s="2"/>
      <c r="G15" s="2"/>
      <c r="H15" s="2" t="s">
        <v>262</v>
      </c>
      <c r="I15" s="2" t="s">
        <v>592</v>
      </c>
      <c r="J15" t="str">
        <f t="shared" ca="1" si="0"/>
        <v>904rs!@</v>
      </c>
      <c r="K15" t="str">
        <f t="shared" si="1"/>
        <v>Update QuestRH_Pessoas set Senha = '938rs!@' Where Nome = 'Ronierison de Lima Siqueira';</v>
      </c>
      <c r="L15" s="2" t="s">
        <v>592</v>
      </c>
    </row>
    <row r="16" spans="1:13" hidden="1" x14ac:dyDescent="0.25">
      <c r="A16" s="2" t="s">
        <v>24</v>
      </c>
      <c r="B16" s="2" t="s">
        <v>258</v>
      </c>
      <c r="C16" s="2">
        <v>101005</v>
      </c>
      <c r="D16" s="2" t="s">
        <v>437</v>
      </c>
      <c r="E16" s="2" t="s">
        <v>438</v>
      </c>
      <c r="F16" s="2"/>
      <c r="G16" s="2"/>
      <c r="H16" s="2" t="s">
        <v>299</v>
      </c>
      <c r="I16" s="2" t="s">
        <v>593</v>
      </c>
      <c r="J16" t="str">
        <f t="shared" ca="1" si="0"/>
        <v>117rm!@</v>
      </c>
      <c r="K16" t="str">
        <f t="shared" si="1"/>
        <v>Update QuestRH_Pessoas set Senha = '414rm!@' Where Nome = 'Rodrigo Santana Moralez';</v>
      </c>
      <c r="L16" s="2" t="s">
        <v>593</v>
      </c>
    </row>
    <row r="17" spans="1:12" hidden="1" x14ac:dyDescent="0.25">
      <c r="A17" s="2" t="s">
        <v>254</v>
      </c>
      <c r="B17" s="2" t="s">
        <v>255</v>
      </c>
      <c r="C17" s="2">
        <v>50000989</v>
      </c>
      <c r="D17" s="2" t="s">
        <v>447</v>
      </c>
      <c r="E17" s="2" t="s">
        <v>441</v>
      </c>
      <c r="F17" s="2"/>
      <c r="G17" s="2"/>
      <c r="H17" s="2" t="s">
        <v>256</v>
      </c>
      <c r="I17" s="2" t="s">
        <v>594</v>
      </c>
      <c r="J17" t="str">
        <f t="shared" ca="1" si="0"/>
        <v>073rm!@</v>
      </c>
      <c r="K17" t="str">
        <f t="shared" si="1"/>
        <v>Update QuestRH_Pessoas set Senha = '129rm!@' Where Nome = 'Rodolfo Fontana Moraes';</v>
      </c>
      <c r="L17" s="2" t="s">
        <v>594</v>
      </c>
    </row>
    <row r="18" spans="1:12" hidden="1" x14ac:dyDescent="0.25">
      <c r="A18" s="2" t="s">
        <v>155</v>
      </c>
      <c r="B18" s="2" t="s">
        <v>250</v>
      </c>
      <c r="C18" s="2">
        <v>102002</v>
      </c>
      <c r="D18" s="2" t="s">
        <v>448</v>
      </c>
      <c r="E18" s="2" t="s">
        <v>438</v>
      </c>
      <c r="F18" s="2"/>
      <c r="G18" s="2"/>
      <c r="H18" s="2" t="s">
        <v>156</v>
      </c>
      <c r="I18" s="2" t="s">
        <v>595</v>
      </c>
      <c r="J18" t="str">
        <f t="shared" ca="1" si="0"/>
        <v>657ra!@</v>
      </c>
      <c r="K18" t="str">
        <f t="shared" si="1"/>
        <v>Update QuestRH_Pessoas set Senha = '804ra!@' Where Nome = 'Rafael Moura Araujo';</v>
      </c>
      <c r="L18" s="2" t="s">
        <v>595</v>
      </c>
    </row>
    <row r="19" spans="1:12" hidden="1" x14ac:dyDescent="0.25">
      <c r="A19" s="2" t="s">
        <v>164</v>
      </c>
      <c r="B19" s="2" t="s">
        <v>248</v>
      </c>
      <c r="C19" s="2">
        <v>103002</v>
      </c>
      <c r="D19" s="2" t="s">
        <v>449</v>
      </c>
      <c r="E19" s="2" t="s">
        <v>441</v>
      </c>
      <c r="F19" s="2"/>
      <c r="G19" s="2"/>
      <c r="H19" s="2" t="s">
        <v>302</v>
      </c>
      <c r="I19" s="2" t="s">
        <v>596</v>
      </c>
      <c r="J19" t="str">
        <f t="shared" ca="1" si="0"/>
        <v>834pm!@</v>
      </c>
      <c r="K19" t="str">
        <f t="shared" si="1"/>
        <v>Update QuestRH_Pessoas set Senha = '063pm!@' Where Nome = 'Pierre da Silva Marinho';</v>
      </c>
      <c r="L19" s="2" t="s">
        <v>596</v>
      </c>
    </row>
    <row r="20" spans="1:12" hidden="1" x14ac:dyDescent="0.25">
      <c r="A20" s="2" t="s">
        <v>245</v>
      </c>
      <c r="B20" s="2" t="s">
        <v>246</v>
      </c>
      <c r="C20" s="2">
        <v>101001</v>
      </c>
      <c r="D20" s="2" t="s">
        <v>450</v>
      </c>
      <c r="E20" s="2" t="s">
        <v>438</v>
      </c>
      <c r="F20" s="2"/>
      <c r="G20" s="2"/>
      <c r="H20" s="2" t="s">
        <v>247</v>
      </c>
      <c r="I20" s="2" t="s">
        <v>597</v>
      </c>
      <c r="J20" t="str">
        <f t="shared" ca="1" si="0"/>
        <v>913pa!@</v>
      </c>
      <c r="K20" t="str">
        <f t="shared" si="1"/>
        <v>Update QuestRH_Pessoas set Senha = '287pa!@' Where Nome = 'Pablo Alexandre da Silva Almeida';</v>
      </c>
      <c r="L20" s="2" t="s">
        <v>597</v>
      </c>
    </row>
    <row r="21" spans="1:12" hidden="1" x14ac:dyDescent="0.25">
      <c r="A21" s="2" t="s">
        <v>167</v>
      </c>
      <c r="B21" s="2" t="s">
        <v>244</v>
      </c>
      <c r="C21" s="2">
        <v>101014</v>
      </c>
      <c r="D21" s="2" t="s">
        <v>451</v>
      </c>
      <c r="E21" s="2" t="s">
        <v>438</v>
      </c>
      <c r="F21" s="2"/>
      <c r="G21" s="2"/>
      <c r="H21" s="2" t="s">
        <v>168</v>
      </c>
      <c r="I21" s="2" t="s">
        <v>598</v>
      </c>
      <c r="J21" t="str">
        <f t="shared" ca="1" si="0"/>
        <v>328mg!@</v>
      </c>
      <c r="K21" t="str">
        <f t="shared" si="1"/>
        <v>Update QuestRH_Pessoas set Senha = '617mg!@' Where Nome = 'Murilo Cezari Guidi';</v>
      </c>
      <c r="L21" s="2" t="s">
        <v>598</v>
      </c>
    </row>
    <row r="22" spans="1:12" hidden="1" x14ac:dyDescent="0.25">
      <c r="A22" s="2" t="s">
        <v>185</v>
      </c>
      <c r="B22" s="2" t="s">
        <v>243</v>
      </c>
      <c r="C22" s="2">
        <v>50000996</v>
      </c>
      <c r="D22" s="2" t="s">
        <v>452</v>
      </c>
      <c r="E22" s="2" t="s">
        <v>441</v>
      </c>
      <c r="F22" s="2"/>
      <c r="G22" s="2"/>
      <c r="H22" s="2" t="s">
        <v>186</v>
      </c>
      <c r="I22" s="2" t="s">
        <v>599</v>
      </c>
      <c r="J22" t="str">
        <f t="shared" ca="1" si="0"/>
        <v>976mc!@</v>
      </c>
      <c r="K22" t="str">
        <f t="shared" si="1"/>
        <v>Update QuestRH_Pessoas set Senha = '212mc!@' Where Nome = 'Miriam de Oliveira Carvalho';</v>
      </c>
      <c r="L22" s="2" t="s">
        <v>599</v>
      </c>
    </row>
    <row r="23" spans="1:12" hidden="1" x14ac:dyDescent="0.25">
      <c r="A23" s="2" t="s">
        <v>240</v>
      </c>
      <c r="B23" s="2" t="s">
        <v>241</v>
      </c>
      <c r="C23" s="2">
        <v>102003</v>
      </c>
      <c r="D23" s="2" t="s">
        <v>453</v>
      </c>
      <c r="E23" s="2" t="s">
        <v>441</v>
      </c>
      <c r="F23" s="2"/>
      <c r="G23" s="2"/>
      <c r="H23" s="2" t="s">
        <v>242</v>
      </c>
      <c r="I23" s="2" t="s">
        <v>600</v>
      </c>
      <c r="J23" t="str">
        <f t="shared" ca="1" si="0"/>
        <v>441ms!@</v>
      </c>
      <c r="K23" t="str">
        <f t="shared" si="1"/>
        <v>Update QuestRH_Pessoas set Senha = '193ms!@' Where Nome = 'Mayara da Silva Santos';</v>
      </c>
      <c r="L23" s="2" t="s">
        <v>600</v>
      </c>
    </row>
    <row r="24" spans="1:12" hidden="1" x14ac:dyDescent="0.25">
      <c r="A24" s="2" t="s">
        <v>234</v>
      </c>
      <c r="B24" s="2" t="s">
        <v>235</v>
      </c>
      <c r="C24" s="2">
        <v>101004</v>
      </c>
      <c r="D24" s="2" t="s">
        <v>454</v>
      </c>
      <c r="E24" s="2" t="s">
        <v>438</v>
      </c>
      <c r="F24" s="2"/>
      <c r="G24" s="2"/>
      <c r="H24" s="2" t="s">
        <v>236</v>
      </c>
      <c r="I24" s="2" t="s">
        <v>601</v>
      </c>
      <c r="J24" t="str">
        <f t="shared" ca="1" si="0"/>
        <v>923ms!@</v>
      </c>
      <c r="K24" t="str">
        <f t="shared" si="1"/>
        <v>Update QuestRH_Pessoas set Senha = '647ms!@' Where Nome = 'Marcos Vinicius Mendes da Silva';</v>
      </c>
      <c r="L24" s="2" t="s">
        <v>601</v>
      </c>
    </row>
    <row r="25" spans="1:12" hidden="1" x14ac:dyDescent="0.25">
      <c r="A25" s="2" t="s">
        <v>53</v>
      </c>
      <c r="B25" s="2"/>
      <c r="C25" s="2">
        <v>50000996</v>
      </c>
      <c r="D25" s="2" t="s">
        <v>455</v>
      </c>
      <c r="E25" s="2" t="s">
        <v>441</v>
      </c>
      <c r="F25" s="2"/>
      <c r="G25" s="2"/>
      <c r="H25" s="2" t="s">
        <v>183</v>
      </c>
      <c r="I25" s="2" t="s">
        <v>602</v>
      </c>
      <c r="J25" t="str">
        <f t="shared" ca="1" si="0"/>
        <v>903mb!@</v>
      </c>
      <c r="K25" t="str">
        <f t="shared" si="1"/>
        <v>Update QuestRH_Pessoas set Senha = '395mb!@' Where Nome = 'Marcos Batista';</v>
      </c>
      <c r="L25" s="2" t="s">
        <v>602</v>
      </c>
    </row>
    <row r="26" spans="1:12" hidden="1" x14ac:dyDescent="0.25">
      <c r="A26" s="2" t="s">
        <v>230</v>
      </c>
      <c r="B26" s="2" t="s">
        <v>231</v>
      </c>
      <c r="C26" s="2">
        <v>103009</v>
      </c>
      <c r="D26" s="2" t="s">
        <v>439</v>
      </c>
      <c r="E26" s="2" t="s">
        <v>438</v>
      </c>
      <c r="F26" s="2"/>
      <c r="G26" s="2"/>
      <c r="H26" s="2" t="s">
        <v>232</v>
      </c>
      <c r="I26" s="2" t="s">
        <v>603</v>
      </c>
      <c r="J26" t="str">
        <f t="shared" ca="1" si="0"/>
        <v>055ms!@</v>
      </c>
      <c r="K26" t="str">
        <f t="shared" si="1"/>
        <v>Update QuestRH_Pessoas set Senha = '584ms!@' Where Nome = 'Marcelo Apolinario Fernandes da Silva';</v>
      </c>
      <c r="L26" s="2" t="s">
        <v>603</v>
      </c>
    </row>
    <row r="27" spans="1:12" hidden="1" x14ac:dyDescent="0.25">
      <c r="A27" s="2" t="s">
        <v>227</v>
      </c>
      <c r="B27" s="2" t="s">
        <v>228</v>
      </c>
      <c r="C27" s="2">
        <v>101004</v>
      </c>
      <c r="D27" s="2" t="s">
        <v>456</v>
      </c>
      <c r="E27" s="2" t="s">
        <v>438</v>
      </c>
      <c r="F27" s="2"/>
      <c r="G27" s="2"/>
      <c r="H27" s="2" t="s">
        <v>229</v>
      </c>
      <c r="I27" s="2" t="s">
        <v>604</v>
      </c>
      <c r="J27" t="str">
        <f t="shared" ca="1" si="0"/>
        <v>286lf!@</v>
      </c>
      <c r="K27" t="str">
        <f t="shared" si="1"/>
        <v>Update QuestRH_Pessoas set Senha = '462lf!@' Where Nome = 'Lucio dos Santos Farias';</v>
      </c>
      <c r="L27" s="2" t="s">
        <v>604</v>
      </c>
    </row>
    <row r="28" spans="1:12" hidden="1" x14ac:dyDescent="0.25">
      <c r="A28" s="2" t="s">
        <v>222</v>
      </c>
      <c r="B28" s="2" t="s">
        <v>223</v>
      </c>
      <c r="C28" s="2">
        <v>50000103</v>
      </c>
      <c r="D28" s="2" t="s">
        <v>442</v>
      </c>
      <c r="E28" s="2" t="s">
        <v>457</v>
      </c>
      <c r="F28" s="2"/>
      <c r="G28" s="2"/>
      <c r="H28" s="2" t="s">
        <v>224</v>
      </c>
      <c r="I28" s="2" t="s">
        <v>605</v>
      </c>
      <c r="J28" t="str">
        <f t="shared" ca="1" si="0"/>
        <v>620lb!@</v>
      </c>
      <c r="K28" t="str">
        <f t="shared" si="1"/>
        <v>Update QuestRH_Pessoas set Senha = '428lb!@' Where Nome = 'Luciano Aparecido Bastos';</v>
      </c>
      <c r="L28" s="2" t="s">
        <v>605</v>
      </c>
    </row>
    <row r="29" spans="1:12" hidden="1" x14ac:dyDescent="0.25">
      <c r="A29" s="2" t="s">
        <v>123</v>
      </c>
      <c r="B29" s="2" t="s">
        <v>218</v>
      </c>
      <c r="C29" s="2">
        <v>103009</v>
      </c>
      <c r="D29" s="2" t="s">
        <v>439</v>
      </c>
      <c r="E29" s="2" t="s">
        <v>438</v>
      </c>
      <c r="F29" s="2"/>
      <c r="G29" s="2"/>
      <c r="H29" s="2" t="s">
        <v>219</v>
      </c>
      <c r="I29" s="2" t="s">
        <v>606</v>
      </c>
      <c r="J29" t="str">
        <f t="shared" ca="1" si="0"/>
        <v>148la!@</v>
      </c>
      <c r="K29" t="str">
        <f t="shared" si="1"/>
        <v>Update QuestRH_Pessoas set Senha = '339la!@' Where Nome = 'Lucas Ramos de Almeida Pasquantonio';</v>
      </c>
      <c r="L29" s="2" t="s">
        <v>606</v>
      </c>
    </row>
    <row r="30" spans="1:12" hidden="1" x14ac:dyDescent="0.25">
      <c r="A30" s="2" t="s">
        <v>68</v>
      </c>
      <c r="B30" s="2" t="s">
        <v>217</v>
      </c>
      <c r="C30" s="2">
        <v>50000993</v>
      </c>
      <c r="D30" s="2" t="s">
        <v>458</v>
      </c>
      <c r="E30" s="2" t="s">
        <v>441</v>
      </c>
      <c r="F30" s="2"/>
      <c r="G30" s="2"/>
      <c r="H30" s="2" t="s">
        <v>69</v>
      </c>
      <c r="I30" s="2" t="s">
        <v>607</v>
      </c>
      <c r="J30" t="str">
        <f t="shared" ca="1" si="0"/>
        <v>833ls!@</v>
      </c>
      <c r="K30" t="str">
        <f t="shared" si="1"/>
        <v>Update QuestRH_Pessoas set Senha = '292ls!@' Where Nome = 'Luana Eugenio da Silva';</v>
      </c>
      <c r="L30" s="2" t="s">
        <v>607</v>
      </c>
    </row>
    <row r="31" spans="1:12" hidden="1" x14ac:dyDescent="0.25">
      <c r="A31" s="2" t="s">
        <v>65</v>
      </c>
      <c r="B31" s="2" t="s">
        <v>216</v>
      </c>
      <c r="C31" s="2">
        <v>50000993</v>
      </c>
      <c r="D31" s="2" t="s">
        <v>459</v>
      </c>
      <c r="E31" s="2" t="s">
        <v>441</v>
      </c>
      <c r="F31" s="2"/>
      <c r="G31" s="2"/>
      <c r="H31" s="2" t="s">
        <v>66</v>
      </c>
      <c r="I31" s="2" t="s">
        <v>608</v>
      </c>
      <c r="J31" t="str">
        <f t="shared" ca="1" si="0"/>
        <v>872js!@</v>
      </c>
      <c r="K31" t="str">
        <f t="shared" si="1"/>
        <v>Update QuestRH_Pessoas set Senha = '780js!@' Where Nome = 'Juliana Matos Santos';</v>
      </c>
      <c r="L31" s="2" t="s">
        <v>608</v>
      </c>
    </row>
    <row r="32" spans="1:12" hidden="1" x14ac:dyDescent="0.25">
      <c r="A32" s="2" t="s">
        <v>212</v>
      </c>
      <c r="B32" s="2" t="s">
        <v>215</v>
      </c>
      <c r="C32" s="2">
        <v>103002</v>
      </c>
      <c r="D32" s="2" t="s">
        <v>460</v>
      </c>
      <c r="E32" s="2" t="s">
        <v>438</v>
      </c>
      <c r="F32" s="2"/>
      <c r="G32" s="2"/>
      <c r="H32" s="2" t="s">
        <v>213</v>
      </c>
      <c r="I32" s="2" t="s">
        <v>609</v>
      </c>
      <c r="J32" t="str">
        <f t="shared" ca="1" si="0"/>
        <v>188jm!@</v>
      </c>
      <c r="K32" t="str">
        <f t="shared" si="1"/>
        <v>Update QuestRH_Pessoas set Senha = '759jm!@' Where Nome = 'Juliana Fogagnolo Melo Loiola';</v>
      </c>
      <c r="L32" s="2" t="s">
        <v>609</v>
      </c>
    </row>
    <row r="33" spans="1:12" hidden="1" x14ac:dyDescent="0.25">
      <c r="A33" s="2" t="s">
        <v>99</v>
      </c>
      <c r="B33" s="2" t="s">
        <v>214</v>
      </c>
      <c r="C33" s="2">
        <v>50000981</v>
      </c>
      <c r="D33" s="2" t="s">
        <v>461</v>
      </c>
      <c r="E33" s="2" t="s">
        <v>441</v>
      </c>
      <c r="F33" s="2"/>
      <c r="G33" s="2"/>
      <c r="H33" s="2" t="s">
        <v>100</v>
      </c>
      <c r="I33" s="2" t="s">
        <v>610</v>
      </c>
      <c r="J33" t="str">
        <f t="shared" ca="1" si="0"/>
        <v>367ja!@</v>
      </c>
      <c r="K33" t="str">
        <f t="shared" si="1"/>
        <v>Update QuestRH_Pessoas set Senha = '882ja!@' Where Nome = 'Jose Roberto Fernandes Alves';</v>
      </c>
      <c r="L33" s="2" t="s">
        <v>610</v>
      </c>
    </row>
    <row r="34" spans="1:12" hidden="1" x14ac:dyDescent="0.25">
      <c r="A34" s="2" t="s">
        <v>209</v>
      </c>
      <c r="B34" s="2" t="s">
        <v>210</v>
      </c>
      <c r="C34" s="2">
        <v>103002</v>
      </c>
      <c r="D34" s="2" t="s">
        <v>439</v>
      </c>
      <c r="E34" s="2" t="s">
        <v>438</v>
      </c>
      <c r="F34" s="2"/>
      <c r="G34" s="2"/>
      <c r="H34" s="2" t="s">
        <v>211</v>
      </c>
      <c r="I34" s="2" t="s">
        <v>611</v>
      </c>
      <c r="J34" t="str">
        <f t="shared" ca="1" si="0"/>
        <v>810js!@</v>
      </c>
      <c r="K34" t="str">
        <f t="shared" si="1"/>
        <v>Update QuestRH_Pessoas set Senha = '005js!@' Where Nome = 'Joaquim Pinto de Souza';</v>
      </c>
      <c r="L34" s="2" t="s">
        <v>611</v>
      </c>
    </row>
    <row r="35" spans="1:12" hidden="1" x14ac:dyDescent="0.25">
      <c r="A35" s="2" t="s">
        <v>67</v>
      </c>
      <c r="B35" s="2" t="s">
        <v>207</v>
      </c>
      <c r="C35" s="2">
        <v>50000121</v>
      </c>
      <c r="D35" s="2" t="s">
        <v>462</v>
      </c>
      <c r="E35" s="2" t="s">
        <v>441</v>
      </c>
      <c r="F35" s="2"/>
      <c r="G35" s="2"/>
      <c r="H35" s="2" t="s">
        <v>296</v>
      </c>
      <c r="I35" s="2" t="s">
        <v>612</v>
      </c>
      <c r="J35" t="str">
        <f t="shared" ca="1" si="0"/>
        <v>888jf!@</v>
      </c>
      <c r="K35" t="str">
        <f t="shared" si="1"/>
        <v>Update QuestRH_Pessoas set Senha = '973jf!@' Where Nome = 'João Fernandes';</v>
      </c>
      <c r="L35" s="2" t="s">
        <v>612</v>
      </c>
    </row>
    <row r="36" spans="1:12" hidden="1" x14ac:dyDescent="0.25">
      <c r="A36" s="2" t="s">
        <v>23</v>
      </c>
      <c r="B36" s="2" t="s">
        <v>200</v>
      </c>
      <c r="C36" s="2">
        <v>50000955</v>
      </c>
      <c r="D36" s="2" t="s">
        <v>463</v>
      </c>
      <c r="E36" s="2" t="s">
        <v>441</v>
      </c>
      <c r="F36" s="2"/>
      <c r="G36" s="2"/>
      <c r="H36" s="2" t="s">
        <v>201</v>
      </c>
      <c r="I36" s="2" t="s">
        <v>613</v>
      </c>
      <c r="J36" t="str">
        <f t="shared" ca="1" si="0"/>
        <v>012jr!@</v>
      </c>
      <c r="K36" t="str">
        <f t="shared" si="1"/>
        <v>Update QuestRH_Pessoas set Senha = '909jr!@' Where Nome = 'Jean Carlos da Rocha';</v>
      </c>
      <c r="L36" s="2" t="s">
        <v>613</v>
      </c>
    </row>
    <row r="37" spans="1:12" hidden="1" x14ac:dyDescent="0.25">
      <c r="A37" s="2" t="s">
        <v>196</v>
      </c>
      <c r="B37" s="2" t="s">
        <v>197</v>
      </c>
      <c r="C37" s="2">
        <v>50000118</v>
      </c>
      <c r="D37" s="2" t="s">
        <v>446</v>
      </c>
      <c r="E37" s="2" t="s">
        <v>441</v>
      </c>
      <c r="F37" s="2"/>
      <c r="G37" s="2"/>
      <c r="H37" s="2" t="s">
        <v>198</v>
      </c>
      <c r="I37" s="2" t="s">
        <v>614</v>
      </c>
      <c r="J37" t="str">
        <f t="shared" ca="1" si="0"/>
        <v>713ja!@</v>
      </c>
      <c r="K37" t="str">
        <f t="shared" si="1"/>
        <v>Update QuestRH_Pessoas set Senha = '834ja!@' Where Nome = 'Janderson Cunha Alves';</v>
      </c>
      <c r="L37" s="2" t="s">
        <v>614</v>
      </c>
    </row>
    <row r="38" spans="1:12" hidden="1" x14ac:dyDescent="0.25">
      <c r="A38" s="2" t="s">
        <v>8</v>
      </c>
      <c r="B38" s="2" t="s">
        <v>173</v>
      </c>
      <c r="C38" s="2">
        <v>50000996</v>
      </c>
      <c r="D38" s="2" t="s">
        <v>463</v>
      </c>
      <c r="E38" s="2" t="s">
        <v>441</v>
      </c>
      <c r="F38" s="2"/>
      <c r="G38" s="2"/>
      <c r="H38" s="2" t="s">
        <v>174</v>
      </c>
      <c r="I38" s="2" t="s">
        <v>615</v>
      </c>
      <c r="J38" t="str">
        <f t="shared" ca="1" si="0"/>
        <v>807ht!@</v>
      </c>
      <c r="K38" t="str">
        <f t="shared" si="1"/>
        <v>Update QuestRH_Pessoas set Senha = '867ht!@' Where Nome = 'Hilton Helton Dias Torres';</v>
      </c>
      <c r="L38" s="2" t="s">
        <v>615</v>
      </c>
    </row>
    <row r="39" spans="1:12" hidden="1" x14ac:dyDescent="0.25">
      <c r="A39" s="2" t="s">
        <v>63</v>
      </c>
      <c r="B39" s="2" t="s">
        <v>172</v>
      </c>
      <c r="C39" s="2">
        <v>50000995</v>
      </c>
      <c r="D39" s="2" t="s">
        <v>443</v>
      </c>
      <c r="E39" s="2" t="s">
        <v>441</v>
      </c>
      <c r="F39" s="2"/>
      <c r="G39" s="2"/>
      <c r="H39" s="2" t="s">
        <v>64</v>
      </c>
      <c r="I39" s="2" t="s">
        <v>616</v>
      </c>
      <c r="J39" t="str">
        <f t="shared" ca="1" si="0"/>
        <v>346hk!@</v>
      </c>
      <c r="K39" t="str">
        <f t="shared" si="1"/>
        <v>Update QuestRH_Pessoas set Senha = '841hk!@' Where Nome = 'Hillary Karen de Araujo';</v>
      </c>
      <c r="L39" s="2" t="s">
        <v>616</v>
      </c>
    </row>
    <row r="40" spans="1:12" hidden="1" x14ac:dyDescent="0.25">
      <c r="A40" s="2" t="s">
        <v>117</v>
      </c>
      <c r="B40" s="2" t="s">
        <v>166</v>
      </c>
      <c r="C40" s="2">
        <v>101014</v>
      </c>
      <c r="D40" s="2" t="s">
        <v>439</v>
      </c>
      <c r="E40" s="2" t="s">
        <v>438</v>
      </c>
      <c r="F40" s="2"/>
      <c r="G40" s="2"/>
      <c r="H40" s="2" t="s">
        <v>118</v>
      </c>
      <c r="I40" s="2" t="s">
        <v>617</v>
      </c>
      <c r="J40" t="str">
        <f t="shared" ca="1" si="0"/>
        <v>890gl!@</v>
      </c>
      <c r="K40" t="str">
        <f t="shared" si="1"/>
        <v>Update QuestRH_Pessoas set Senha = '038gl!@' Where Nome = 'Guilherme Luis Eberhardt';</v>
      </c>
      <c r="L40" s="2" t="s">
        <v>617</v>
      </c>
    </row>
    <row r="41" spans="1:12" hidden="1" x14ac:dyDescent="0.25">
      <c r="A41" s="2" t="s">
        <v>159</v>
      </c>
      <c r="B41" s="2" t="s">
        <v>165</v>
      </c>
      <c r="C41" s="2">
        <v>101005</v>
      </c>
      <c r="D41" s="2" t="s">
        <v>454</v>
      </c>
      <c r="E41" s="2" t="s">
        <v>438</v>
      </c>
      <c r="F41" s="2"/>
      <c r="G41" s="2"/>
      <c r="H41" s="2" t="s">
        <v>160</v>
      </c>
      <c r="I41" s="2" t="s">
        <v>618</v>
      </c>
      <c r="J41" t="str">
        <f t="shared" ca="1" si="0"/>
        <v>068gp!@</v>
      </c>
      <c r="K41" t="str">
        <f t="shared" si="1"/>
        <v>Update QuestRH_Pessoas set Senha = '493gp!@' Where Nome = 'Glaucia Delgado Pontes';</v>
      </c>
      <c r="L41" s="2" t="s">
        <v>618</v>
      </c>
    </row>
    <row r="42" spans="1:12" hidden="1" x14ac:dyDescent="0.25">
      <c r="A42" s="2" t="s">
        <v>161</v>
      </c>
      <c r="B42" s="2" t="s">
        <v>162</v>
      </c>
      <c r="C42" s="2">
        <v>103002</v>
      </c>
      <c r="D42" s="2" t="s">
        <v>464</v>
      </c>
      <c r="E42" s="2" t="s">
        <v>438</v>
      </c>
      <c r="F42" s="2"/>
      <c r="G42" s="2"/>
      <c r="H42" s="2" t="s">
        <v>163</v>
      </c>
      <c r="I42" s="2" t="s">
        <v>619</v>
      </c>
      <c r="J42" t="str">
        <f t="shared" ca="1" si="0"/>
        <v>883gl!@</v>
      </c>
      <c r="K42" t="str">
        <f t="shared" si="1"/>
        <v>Update QuestRH_Pessoas set Senha = '958gl!@' Where Nome = 'Gabriela Caixeta Lima';</v>
      </c>
      <c r="L42" s="2" t="s">
        <v>619</v>
      </c>
    </row>
    <row r="43" spans="1:12" hidden="1" x14ac:dyDescent="0.25">
      <c r="A43" s="2" t="s">
        <v>147</v>
      </c>
      <c r="B43" s="2" t="s">
        <v>157</v>
      </c>
      <c r="C43" s="2">
        <v>102003</v>
      </c>
      <c r="D43" s="2" t="s">
        <v>439</v>
      </c>
      <c r="E43" s="2" t="s">
        <v>438</v>
      </c>
      <c r="F43" s="2"/>
      <c r="G43" s="2"/>
      <c r="H43" s="2" t="s">
        <v>158</v>
      </c>
      <c r="I43" s="2" t="s">
        <v>620</v>
      </c>
      <c r="J43" t="str">
        <f t="shared" ca="1" si="0"/>
        <v>701fc!@</v>
      </c>
      <c r="K43" t="str">
        <f t="shared" si="1"/>
        <v>Update QuestRH_Pessoas set Senha = '968fc!@' Where Nome = 'Fernando Marques Correa';</v>
      </c>
      <c r="L43" s="2" t="s">
        <v>620</v>
      </c>
    </row>
    <row r="44" spans="1:12" hidden="1" x14ac:dyDescent="0.25">
      <c r="A44" s="2" t="s">
        <v>36</v>
      </c>
      <c r="B44" s="2" t="s">
        <v>154</v>
      </c>
      <c r="C44" s="2">
        <v>102003</v>
      </c>
      <c r="D44" s="2" t="s">
        <v>448</v>
      </c>
      <c r="E44" s="2" t="s">
        <v>441</v>
      </c>
      <c r="F44" s="2"/>
      <c r="G44" s="2"/>
      <c r="H44" s="2" t="s">
        <v>301</v>
      </c>
      <c r="I44" s="2" t="s">
        <v>621</v>
      </c>
      <c r="J44" t="str">
        <f t="shared" ca="1" si="0"/>
        <v>546fb!@</v>
      </c>
      <c r="K44" t="str">
        <f t="shared" si="1"/>
        <v>Update QuestRH_Pessoas set Senha = '658fb!@' Where Nome = 'Fabricio Romanini Bruschi';</v>
      </c>
      <c r="L44" s="2" t="s">
        <v>621</v>
      </c>
    </row>
    <row r="45" spans="1:12" hidden="1" x14ac:dyDescent="0.25">
      <c r="A45" s="2" t="s">
        <v>151</v>
      </c>
      <c r="B45" s="2" t="s">
        <v>152</v>
      </c>
      <c r="C45" s="2">
        <v>102002</v>
      </c>
      <c r="D45" s="2" t="s">
        <v>439</v>
      </c>
      <c r="E45" s="2" t="s">
        <v>438</v>
      </c>
      <c r="F45" s="2"/>
      <c r="G45" s="2"/>
      <c r="H45" s="2" t="s">
        <v>153</v>
      </c>
      <c r="I45" s="2" t="s">
        <v>622</v>
      </c>
      <c r="J45" t="str">
        <f t="shared" ca="1" si="0"/>
        <v>058fc!@</v>
      </c>
      <c r="K45" t="str">
        <f t="shared" si="1"/>
        <v>Update QuestRH_Pessoas set Senha = '564fc!@' Where Nome = 'Fabio Bersi Carelli';</v>
      </c>
      <c r="L45" s="2" t="s">
        <v>622</v>
      </c>
    </row>
    <row r="46" spans="1:12" hidden="1" x14ac:dyDescent="0.25">
      <c r="A46" s="2" t="s">
        <v>126</v>
      </c>
      <c r="B46" s="2" t="s">
        <v>430</v>
      </c>
      <c r="C46" s="2">
        <v>50000990</v>
      </c>
      <c r="D46" s="2" t="s">
        <v>465</v>
      </c>
      <c r="E46" s="2" t="s">
        <v>441</v>
      </c>
      <c r="F46" s="2"/>
      <c r="G46" s="2"/>
      <c r="H46" s="2" t="s">
        <v>127</v>
      </c>
      <c r="I46" s="2" t="s">
        <v>623</v>
      </c>
      <c r="J46" t="str">
        <f t="shared" ca="1" si="0"/>
        <v>159es!@</v>
      </c>
      <c r="K46" t="str">
        <f t="shared" si="1"/>
        <v>Update QuestRH_Pessoas set Senha = '630es!@' Where Nome = 'Ewerton Gomes de Siqueira';</v>
      </c>
      <c r="L46" s="2" t="s">
        <v>623</v>
      </c>
    </row>
    <row r="47" spans="1:12" hidden="1" x14ac:dyDescent="0.25">
      <c r="A47" s="2" t="s">
        <v>18</v>
      </c>
      <c r="B47" s="2" t="s">
        <v>138</v>
      </c>
      <c r="C47" s="2">
        <v>50000974</v>
      </c>
      <c r="D47" s="2" t="s">
        <v>466</v>
      </c>
      <c r="E47" s="2" t="s">
        <v>441</v>
      </c>
      <c r="F47" s="2"/>
      <c r="G47" s="2"/>
      <c r="H47" s="2" t="s">
        <v>139</v>
      </c>
      <c r="I47" s="2" t="s">
        <v>624</v>
      </c>
      <c r="J47" t="str">
        <f t="shared" ca="1" si="0"/>
        <v>122eb!@</v>
      </c>
      <c r="K47" t="str">
        <f t="shared" si="1"/>
        <v>Update QuestRH_Pessoas set Senha = '566eb!@' Where Nome = 'Everton Lisboa Bitencourt';</v>
      </c>
      <c r="L47" s="2" t="s">
        <v>624</v>
      </c>
    </row>
    <row r="48" spans="1:12" hidden="1" x14ac:dyDescent="0.25">
      <c r="A48" s="2" t="s">
        <v>10</v>
      </c>
      <c r="B48" s="2" t="s">
        <v>124</v>
      </c>
      <c r="C48" s="2">
        <v>50000990</v>
      </c>
      <c r="D48" s="2" t="s">
        <v>463</v>
      </c>
      <c r="E48" s="2" t="s">
        <v>441</v>
      </c>
      <c r="F48" s="2"/>
      <c r="G48" s="2"/>
      <c r="H48" s="2" t="s">
        <v>125</v>
      </c>
      <c r="I48" s="2" t="s">
        <v>625</v>
      </c>
      <c r="J48" t="str">
        <f t="shared" ca="1" si="0"/>
        <v>820es!@</v>
      </c>
      <c r="K48" t="str">
        <f t="shared" si="1"/>
        <v>Update QuestRH_Pessoas set Senha = '157es!@' Where Nome = 'Everaldo Henrique da Silva Junior';</v>
      </c>
      <c r="L48" s="2" t="s">
        <v>625</v>
      </c>
    </row>
    <row r="49" spans="1:12" hidden="1" x14ac:dyDescent="0.25">
      <c r="A49" s="2" t="s">
        <v>112</v>
      </c>
      <c r="B49" s="2" t="s">
        <v>113</v>
      </c>
      <c r="C49" s="2">
        <v>101011</v>
      </c>
      <c r="D49" s="2" t="s">
        <v>437</v>
      </c>
      <c r="E49" s="2" t="s">
        <v>438</v>
      </c>
      <c r="F49" s="2"/>
      <c r="G49" s="2"/>
      <c r="H49" s="2" t="s">
        <v>298</v>
      </c>
      <c r="I49" s="2" t="s">
        <v>626</v>
      </c>
      <c r="J49" t="str">
        <f t="shared" ca="1" si="0"/>
        <v>967ei!@</v>
      </c>
      <c r="K49" t="str">
        <f t="shared" si="1"/>
        <v>Update QuestRH_Pessoas set Senha = '837ei!@' Where Nome = 'Evandro Luis Idalgo de Oliveira';</v>
      </c>
      <c r="L49" s="2" t="s">
        <v>626</v>
      </c>
    </row>
    <row r="50" spans="1:12" hidden="1" x14ac:dyDescent="0.25">
      <c r="A50" s="2" t="s">
        <v>109</v>
      </c>
      <c r="B50" s="2" t="s">
        <v>110</v>
      </c>
      <c r="C50" s="2">
        <v>50000996</v>
      </c>
      <c r="D50" s="2" t="s">
        <v>458</v>
      </c>
      <c r="E50" s="2" t="s">
        <v>441</v>
      </c>
      <c r="F50" s="2"/>
      <c r="G50" s="2"/>
      <c r="H50" s="2" t="s">
        <v>111</v>
      </c>
      <c r="I50" s="2" t="s">
        <v>627</v>
      </c>
      <c r="J50" t="str">
        <f t="shared" ca="1" si="0"/>
        <v>373eb!@</v>
      </c>
      <c r="K50" t="str">
        <f t="shared" si="1"/>
        <v>Update QuestRH_Pessoas set Senha = '645eb!@' Where Nome = 'Emerson Bonotto';</v>
      </c>
      <c r="L50" s="2" t="s">
        <v>627</v>
      </c>
    </row>
    <row r="51" spans="1:12" hidden="1" x14ac:dyDescent="0.25">
      <c r="A51" s="2" t="s">
        <v>14</v>
      </c>
      <c r="B51" s="2" t="s">
        <v>106</v>
      </c>
      <c r="C51" s="2">
        <v>50000995</v>
      </c>
      <c r="D51" s="2" t="s">
        <v>443</v>
      </c>
      <c r="E51" s="2" t="s">
        <v>441</v>
      </c>
      <c r="F51" s="2"/>
      <c r="G51" s="2"/>
      <c r="H51" s="2" t="s">
        <v>107</v>
      </c>
      <c r="I51" s="2" t="s">
        <v>628</v>
      </c>
      <c r="J51" t="str">
        <f t="shared" ca="1" si="0"/>
        <v>222en!@</v>
      </c>
      <c r="K51" t="str">
        <f t="shared" si="1"/>
        <v>Update QuestRH_Pessoas set Senha = '574en!@' Where Nome = 'Ellian Fernando Leite Maciel Nunes';</v>
      </c>
      <c r="L51" s="2" t="s">
        <v>628</v>
      </c>
    </row>
    <row r="52" spans="1:12" hidden="1" x14ac:dyDescent="0.25">
      <c r="A52" s="2" t="s">
        <v>37</v>
      </c>
      <c r="B52" s="2" t="s">
        <v>95</v>
      </c>
      <c r="C52" s="2">
        <v>50000981</v>
      </c>
      <c r="D52" s="2" t="s">
        <v>447</v>
      </c>
      <c r="E52" s="2" t="s">
        <v>441</v>
      </c>
      <c r="F52" s="2"/>
      <c r="G52" s="2"/>
      <c r="H52" s="2" t="s">
        <v>96</v>
      </c>
      <c r="I52" s="2" t="s">
        <v>629</v>
      </c>
      <c r="J52" t="str">
        <f t="shared" ca="1" si="0"/>
        <v>200em!@</v>
      </c>
      <c r="K52" t="str">
        <f t="shared" si="1"/>
        <v>Update QuestRH_Pessoas set Senha = '650em!@' Where Nome = 'Eliza Crisley Lima Moreira';</v>
      </c>
      <c r="L52" s="2" t="s">
        <v>629</v>
      </c>
    </row>
    <row r="53" spans="1:12" hidden="1" x14ac:dyDescent="0.25">
      <c r="A53" s="2" t="s">
        <v>91</v>
      </c>
      <c r="B53" s="2" t="s">
        <v>92</v>
      </c>
      <c r="C53" s="2">
        <v>50000111</v>
      </c>
      <c r="D53" s="2" t="s">
        <v>467</v>
      </c>
      <c r="E53" s="2" t="s">
        <v>438</v>
      </c>
      <c r="F53" s="2"/>
      <c r="G53" s="2"/>
      <c r="H53" s="2" t="s">
        <v>93</v>
      </c>
      <c r="I53" s="2" t="s">
        <v>630</v>
      </c>
      <c r="J53" t="str">
        <f t="shared" ca="1" si="0"/>
        <v>216ep!@</v>
      </c>
      <c r="K53" t="str">
        <f t="shared" si="1"/>
        <v>Update QuestRH_Pessoas set Senha = '160ep!@' Where Nome = 'Ediberto Ronei Pescaroli';</v>
      </c>
      <c r="L53" s="2" t="s">
        <v>630</v>
      </c>
    </row>
    <row r="54" spans="1:12" hidden="1" x14ac:dyDescent="0.25">
      <c r="A54" s="2" t="s">
        <v>79</v>
      </c>
      <c r="B54" s="2" t="s">
        <v>80</v>
      </c>
      <c r="C54" s="2">
        <v>50000955</v>
      </c>
      <c r="D54" s="2" t="s">
        <v>468</v>
      </c>
      <c r="E54" s="2" t="s">
        <v>441</v>
      </c>
      <c r="F54" s="2"/>
      <c r="G54" s="2"/>
      <c r="H54" s="2" t="s">
        <v>81</v>
      </c>
      <c r="I54" s="2" t="s">
        <v>631</v>
      </c>
      <c r="J54" t="str">
        <f t="shared" ca="1" si="0"/>
        <v>752ds!@</v>
      </c>
      <c r="K54" t="str">
        <f t="shared" si="1"/>
        <v>Update QuestRH_Pessoas set Senha = '334ds!@' Where Nome = 'Diego Santos de Oliveira';</v>
      </c>
      <c r="L54" s="2" t="s">
        <v>631</v>
      </c>
    </row>
    <row r="55" spans="1:12" hidden="1" x14ac:dyDescent="0.25">
      <c r="A55" s="2" t="s">
        <v>73</v>
      </c>
      <c r="B55" s="2" t="s">
        <v>74</v>
      </c>
      <c r="C55" s="2">
        <v>50000996</v>
      </c>
      <c r="D55" s="2" t="s">
        <v>468</v>
      </c>
      <c r="E55" s="2" t="s">
        <v>441</v>
      </c>
      <c r="F55" s="2"/>
      <c r="G55" s="2"/>
      <c r="H55" s="2" t="s">
        <v>75</v>
      </c>
      <c r="I55" s="2" t="s">
        <v>632</v>
      </c>
      <c r="J55" t="str">
        <f t="shared" ca="1" si="0"/>
        <v>974da!@</v>
      </c>
      <c r="K55" t="str">
        <f t="shared" si="1"/>
        <v>Update QuestRH_Pessoas set Senha = '410da!@' Where Nome = 'Diego Freitas Araujo';</v>
      </c>
      <c r="L55" s="2" t="s">
        <v>632</v>
      </c>
    </row>
    <row r="56" spans="1:12" hidden="1" x14ac:dyDescent="0.25">
      <c r="A56" s="2" t="s">
        <v>59</v>
      </c>
      <c r="B56" s="2" t="s">
        <v>60</v>
      </c>
      <c r="C56" s="2">
        <v>50000993</v>
      </c>
      <c r="D56" s="2" t="s">
        <v>463</v>
      </c>
      <c r="E56" s="2" t="s">
        <v>441</v>
      </c>
      <c r="F56" s="2"/>
      <c r="G56" s="2"/>
      <c r="H56" s="2" t="s">
        <v>61</v>
      </c>
      <c r="I56" s="2" t="s">
        <v>633</v>
      </c>
      <c r="J56" t="str">
        <f t="shared" ca="1" si="0"/>
        <v>925ds!@</v>
      </c>
      <c r="K56" t="str">
        <f t="shared" si="1"/>
        <v>Update QuestRH_Pessoas set Senha = '517ds!@' Where Nome = 'Dayvson Faber Alcantara Silva';</v>
      </c>
      <c r="L56" s="2" t="s">
        <v>633</v>
      </c>
    </row>
    <row r="57" spans="1:12" hidden="1" x14ac:dyDescent="0.25">
      <c r="A57" s="2" t="s">
        <v>54</v>
      </c>
      <c r="B57" s="2" t="s">
        <v>55</v>
      </c>
      <c r="C57" s="2">
        <v>50000981</v>
      </c>
      <c r="D57" s="2" t="s">
        <v>447</v>
      </c>
      <c r="E57" s="2" t="s">
        <v>441</v>
      </c>
      <c r="F57" s="2"/>
      <c r="G57" s="2"/>
      <c r="H57" s="2" t="s">
        <v>56</v>
      </c>
      <c r="I57" s="2" t="s">
        <v>634</v>
      </c>
      <c r="J57" t="str">
        <f t="shared" ca="1" si="0"/>
        <v>459dc!@</v>
      </c>
      <c r="K57" t="str">
        <f t="shared" si="1"/>
        <v>Update QuestRH_Pessoas set Senha = '248dc!@' Where Nome = 'Dayvis Jones Coelho';</v>
      </c>
      <c r="L57" s="2" t="s">
        <v>634</v>
      </c>
    </row>
    <row r="58" spans="1:12" hidden="1" x14ac:dyDescent="0.25">
      <c r="A58" s="2" t="s">
        <v>48</v>
      </c>
      <c r="B58" s="2" t="s">
        <v>49</v>
      </c>
      <c r="C58" s="2">
        <v>50000955</v>
      </c>
      <c r="D58" s="2" t="s">
        <v>452</v>
      </c>
      <c r="E58" s="2" t="s">
        <v>441</v>
      </c>
      <c r="F58" s="2"/>
      <c r="G58" s="2"/>
      <c r="H58" s="2" t="s">
        <v>50</v>
      </c>
      <c r="I58" s="2" t="s">
        <v>635</v>
      </c>
      <c r="J58" t="str">
        <f t="shared" ca="1" si="0"/>
        <v>690cg!@</v>
      </c>
      <c r="K58" t="str">
        <f t="shared" si="1"/>
        <v>Update QuestRH_Pessoas set Senha = '222cg!@' Where Nome = 'Crislane Santos Gama';</v>
      </c>
      <c r="L58" s="2" t="s">
        <v>635</v>
      </c>
    </row>
    <row r="59" spans="1:12" hidden="1" x14ac:dyDescent="0.25">
      <c r="A59" s="2" t="s">
        <v>43</v>
      </c>
      <c r="B59" s="2" t="s">
        <v>44</v>
      </c>
      <c r="C59" s="2">
        <v>50000990</v>
      </c>
      <c r="D59" s="2" t="s">
        <v>447</v>
      </c>
      <c r="E59" s="2" t="s">
        <v>441</v>
      </c>
      <c r="F59" s="2"/>
      <c r="G59" s="2"/>
      <c r="H59" s="2" t="s">
        <v>45</v>
      </c>
      <c r="I59" s="2" t="s">
        <v>636</v>
      </c>
      <c r="J59" t="str">
        <f t="shared" ca="1" si="0"/>
        <v>491bc!@</v>
      </c>
      <c r="K59" t="str">
        <f t="shared" si="1"/>
        <v>Update QuestRH_Pessoas set Senha = '669bc!@' Where Nome = 'Bruno Augusto Alvernaz de Castro';</v>
      </c>
      <c r="L59" s="2" t="s">
        <v>636</v>
      </c>
    </row>
    <row r="60" spans="1:12" hidden="1" x14ac:dyDescent="0.25">
      <c r="A60" s="2" t="s">
        <v>38</v>
      </c>
      <c r="B60" s="2" t="s">
        <v>39</v>
      </c>
      <c r="C60" s="2">
        <v>103011</v>
      </c>
      <c r="D60" s="2" t="s">
        <v>448</v>
      </c>
      <c r="E60" s="2" t="s">
        <v>438</v>
      </c>
      <c r="F60" s="2"/>
      <c r="G60" s="2"/>
      <c r="H60" s="2" t="s">
        <v>40</v>
      </c>
      <c r="I60" s="2" t="s">
        <v>637</v>
      </c>
      <c r="J60" t="str">
        <f t="shared" ca="1" si="0"/>
        <v>698af!@</v>
      </c>
      <c r="K60" t="str">
        <f t="shared" si="1"/>
        <v>Update QuestRH_Pessoas set Senha = '042af!@' Where Nome = 'Augusto Cesar Eloi de Freitas';</v>
      </c>
      <c r="L60" s="2" t="s">
        <v>637</v>
      </c>
    </row>
    <row r="61" spans="1:12" hidden="1" x14ac:dyDescent="0.25">
      <c r="A61" s="2" t="s">
        <v>285</v>
      </c>
      <c r="B61" s="2" t="s">
        <v>315</v>
      </c>
      <c r="C61" s="2">
        <v>101006</v>
      </c>
      <c r="D61" s="2" t="s">
        <v>469</v>
      </c>
      <c r="E61" s="2" t="s">
        <v>441</v>
      </c>
      <c r="F61" s="2"/>
      <c r="G61" s="2"/>
      <c r="H61" s="2" t="s">
        <v>300</v>
      </c>
      <c r="I61" s="2" t="s">
        <v>638</v>
      </c>
      <c r="J61" t="str">
        <f t="shared" ca="1" si="0"/>
        <v>620aa!@</v>
      </c>
      <c r="K61" t="str">
        <f t="shared" si="1"/>
        <v>Update QuestRH_Pessoas set Senha = '906aa!@' Where Nome = 'Antonio Aloisio Ferreira do Santos Filho';</v>
      </c>
      <c r="L61" s="2" t="s">
        <v>638</v>
      </c>
    </row>
    <row r="62" spans="1:12" hidden="1" x14ac:dyDescent="0.25">
      <c r="A62" s="2" t="s">
        <v>27</v>
      </c>
      <c r="B62" s="2" t="s">
        <v>28</v>
      </c>
      <c r="C62" s="2">
        <v>50000974</v>
      </c>
      <c r="D62" s="2" t="s">
        <v>458</v>
      </c>
      <c r="E62" s="2" t="s">
        <v>441</v>
      </c>
      <c r="F62" s="2"/>
      <c r="G62" s="2"/>
      <c r="H62" s="2" t="s">
        <v>29</v>
      </c>
      <c r="I62" s="2" t="s">
        <v>639</v>
      </c>
      <c r="J62" t="str">
        <f t="shared" ca="1" si="0"/>
        <v>877aa!@</v>
      </c>
      <c r="K62" t="str">
        <f t="shared" si="1"/>
        <v>Update QuestRH_Pessoas set Senha = '240aa!@' Where Nome = 'Alexandro Bezerra de Araujo';</v>
      </c>
      <c r="L62" s="2" t="s">
        <v>639</v>
      </c>
    </row>
    <row r="63" spans="1:12" hidden="1" x14ac:dyDescent="0.25">
      <c r="A63" s="2" t="s">
        <v>19</v>
      </c>
      <c r="B63" s="2" t="s">
        <v>20</v>
      </c>
      <c r="C63" s="2">
        <v>101005</v>
      </c>
      <c r="D63" s="2" t="s">
        <v>470</v>
      </c>
      <c r="E63" s="2" t="s">
        <v>438</v>
      </c>
      <c r="F63" s="2"/>
      <c r="G63" s="2"/>
      <c r="H63" s="2" t="s">
        <v>21</v>
      </c>
      <c r="I63" s="2" t="s">
        <v>640</v>
      </c>
      <c r="J63" t="str">
        <f t="shared" ca="1" si="0"/>
        <v>583at!@</v>
      </c>
      <c r="K63" t="str">
        <f t="shared" si="1"/>
        <v>Update QuestRH_Pessoas set Senha = '386at!@' Where Nome = 'Alessandra Maria Tambellini';</v>
      </c>
      <c r="L63" s="2" t="s">
        <v>640</v>
      </c>
    </row>
    <row r="64" spans="1:12" hidden="1" x14ac:dyDescent="0.25">
      <c r="A64" s="2" t="s">
        <v>3</v>
      </c>
      <c r="B64" s="2" t="s">
        <v>4</v>
      </c>
      <c r="C64" s="2">
        <v>50000990</v>
      </c>
      <c r="D64" s="2" t="s">
        <v>461</v>
      </c>
      <c r="E64" s="2" t="s">
        <v>441</v>
      </c>
      <c r="F64" s="2"/>
      <c r="G64" s="2"/>
      <c r="H64" s="2" t="s">
        <v>5</v>
      </c>
      <c r="I64" s="2" t="s">
        <v>641</v>
      </c>
      <c r="J64" t="str">
        <f t="shared" ca="1" si="0"/>
        <v>043ac!@</v>
      </c>
      <c r="K64" t="str">
        <f t="shared" si="1"/>
        <v>Update QuestRH_Pessoas set Senha = '049ac!@' Where Nome = 'Adenilson Lopes de Castro';</v>
      </c>
      <c r="L64" s="2" t="s">
        <v>641</v>
      </c>
    </row>
    <row r="65" spans="1:12" hidden="1" x14ac:dyDescent="0.25">
      <c r="A65" s="2" t="s">
        <v>189</v>
      </c>
      <c r="B65" s="2"/>
      <c r="C65" s="2">
        <v>50000996</v>
      </c>
      <c r="D65" s="2" t="s">
        <v>471</v>
      </c>
      <c r="E65" s="2" t="s">
        <v>441</v>
      </c>
      <c r="F65" s="2" t="s">
        <v>472</v>
      </c>
      <c r="G65" s="8">
        <v>24262</v>
      </c>
      <c r="H65" s="2" t="s">
        <v>190</v>
      </c>
      <c r="I65" s="2" t="s">
        <v>642</v>
      </c>
      <c r="J65" t="str">
        <f t="shared" ca="1" si="0"/>
        <v>937as!@</v>
      </c>
      <c r="K65" t="str">
        <f t="shared" si="1"/>
        <v>Update QuestRH_Pessoas set Senha = '752as!@' Where Nome = 'Adelmo Alves de Sousa';</v>
      </c>
      <c r="L65" s="2" t="s">
        <v>642</v>
      </c>
    </row>
    <row r="66" spans="1:12" hidden="1" x14ac:dyDescent="0.25">
      <c r="A66" s="2" t="s">
        <v>33</v>
      </c>
      <c r="B66" s="2" t="s">
        <v>34</v>
      </c>
      <c r="C66" s="2">
        <v>102003</v>
      </c>
      <c r="D66" s="2" t="s">
        <v>439</v>
      </c>
      <c r="E66" s="2" t="s">
        <v>438</v>
      </c>
      <c r="F66" s="2"/>
      <c r="G66" s="2"/>
      <c r="H66" s="2" t="s">
        <v>35</v>
      </c>
      <c r="I66" s="2" t="s">
        <v>643</v>
      </c>
      <c r="J66" t="str">
        <f t="shared" ca="1" si="0"/>
        <v>759ad!@</v>
      </c>
      <c r="K66" t="str">
        <f t="shared" si="1"/>
        <v>Update QuestRH_Pessoas set Senha = '010ad!@' Where Nome = 'Anderson Domingues da Silva';</v>
      </c>
      <c r="L66" s="2" t="s">
        <v>643</v>
      </c>
    </row>
    <row r="67" spans="1:12" hidden="1" x14ac:dyDescent="0.25">
      <c r="A67" s="2" t="s">
        <v>88</v>
      </c>
      <c r="B67" s="2"/>
      <c r="C67" s="2">
        <v>50000955</v>
      </c>
      <c r="D67" s="2" t="s">
        <v>471</v>
      </c>
      <c r="E67" s="2" t="s">
        <v>441</v>
      </c>
      <c r="F67" s="2" t="s">
        <v>473</v>
      </c>
      <c r="G67" s="8">
        <v>22588</v>
      </c>
      <c r="H67" s="2" t="s">
        <v>89</v>
      </c>
      <c r="I67" s="2" t="s">
        <v>644</v>
      </c>
      <c r="J67" t="str">
        <f t="shared" ref="J67:J130" ca="1" si="2">TEXT(RANDBETWEEN(1,999),"000") &amp; LEFT(H67,1) &amp; MID(H67,FIND(".",H67,1)+1,1) &amp; "!@"</f>
        <v>822af!@</v>
      </c>
      <c r="K67" t="str">
        <f t="shared" ref="K67:K130" si="3">"Update QuestRH_Pessoas set Senha = '" &amp; I67 &amp; "' Where Nome = '" &amp; A67 &amp; "';"</f>
        <v>Update QuestRH_Pessoas set Senha = '897af!@' Where Nome = 'Antonio Benedito Filho';</v>
      </c>
      <c r="L67" s="2" t="s">
        <v>644</v>
      </c>
    </row>
    <row r="68" spans="1:12" hidden="1" x14ac:dyDescent="0.25">
      <c r="A68" s="2" t="s">
        <v>7</v>
      </c>
      <c r="B68" s="2"/>
      <c r="C68" s="2">
        <v>50000996</v>
      </c>
      <c r="D68" s="2" t="s">
        <v>474</v>
      </c>
      <c r="E68" s="2" t="s">
        <v>441</v>
      </c>
      <c r="F68" s="2" t="s">
        <v>475</v>
      </c>
      <c r="G68" s="8">
        <v>23142</v>
      </c>
      <c r="H68" s="2" t="s">
        <v>184</v>
      </c>
      <c r="I68" s="2" t="s">
        <v>645</v>
      </c>
      <c r="J68" t="str">
        <f t="shared" ca="1" si="2"/>
        <v>192ap!@</v>
      </c>
      <c r="K68" t="str">
        <f t="shared" si="3"/>
        <v>Update QuestRH_Pessoas set Senha = '893ap!@' Where Nome = 'Antonio Fabio da Cunha Povoas';</v>
      </c>
      <c r="L68" s="2" t="s">
        <v>645</v>
      </c>
    </row>
    <row r="69" spans="1:12" hidden="1" x14ac:dyDescent="0.25">
      <c r="A69" s="2" t="s">
        <v>9</v>
      </c>
      <c r="B69" s="2"/>
      <c r="C69" s="2">
        <v>50000990</v>
      </c>
      <c r="D69" s="2" t="s">
        <v>476</v>
      </c>
      <c r="E69" s="2" t="s">
        <v>441</v>
      </c>
      <c r="F69" s="2" t="s">
        <v>477</v>
      </c>
      <c r="G69" s="8">
        <v>29823</v>
      </c>
      <c r="H69" s="2" t="s">
        <v>132</v>
      </c>
      <c r="I69" s="2" t="s">
        <v>646</v>
      </c>
      <c r="J69" t="str">
        <f t="shared" ca="1" si="2"/>
        <v>988al!@</v>
      </c>
      <c r="K69" t="str">
        <f t="shared" si="3"/>
        <v>Update QuestRH_Pessoas set Senha = '034al!@' Where Nome = 'Antonio Felix de Lima';</v>
      </c>
      <c r="L69" s="2" t="s">
        <v>646</v>
      </c>
    </row>
    <row r="70" spans="1:12" hidden="1" x14ac:dyDescent="0.25">
      <c r="A70" s="2" t="s">
        <v>13</v>
      </c>
      <c r="B70" s="2"/>
      <c r="C70" s="2">
        <v>50001003</v>
      </c>
      <c r="D70" s="2" t="s">
        <v>478</v>
      </c>
      <c r="E70" s="2" t="s">
        <v>441</v>
      </c>
      <c r="F70" s="2" t="s">
        <v>479</v>
      </c>
      <c r="G70" s="8">
        <v>28654</v>
      </c>
      <c r="H70" s="2" t="s">
        <v>108</v>
      </c>
      <c r="I70" s="2" t="s">
        <v>647</v>
      </c>
      <c r="J70" t="str">
        <f t="shared" ca="1" si="2"/>
        <v>215as!@</v>
      </c>
      <c r="K70" t="str">
        <f t="shared" si="3"/>
        <v>Update QuestRH_Pessoas set Senha = '721as!@' Where Nome = 'Antonio Marcos da Cruz Sousa';</v>
      </c>
      <c r="L70" s="2" t="s">
        <v>647</v>
      </c>
    </row>
    <row r="71" spans="1:12" hidden="1" x14ac:dyDescent="0.25">
      <c r="A71" s="2" t="s">
        <v>187</v>
      </c>
      <c r="B71" s="2"/>
      <c r="C71" s="2">
        <v>50000996</v>
      </c>
      <c r="D71" s="2" t="s">
        <v>478</v>
      </c>
      <c r="E71" s="2" t="s">
        <v>441</v>
      </c>
      <c r="F71" s="2" t="s">
        <v>480</v>
      </c>
      <c r="G71" s="8">
        <v>31010</v>
      </c>
      <c r="H71" s="2" t="s">
        <v>188</v>
      </c>
      <c r="I71" s="2" t="s">
        <v>648</v>
      </c>
      <c r="J71" t="str">
        <f t="shared" ca="1" si="2"/>
        <v>301at!@</v>
      </c>
      <c r="K71" t="str">
        <f t="shared" si="3"/>
        <v>Update QuestRH_Pessoas set Senha = '745at!@' Where Nome = 'Arnaldo da Silva Teixeira';</v>
      </c>
      <c r="L71" s="2" t="s">
        <v>648</v>
      </c>
    </row>
    <row r="72" spans="1:12" hidden="1" x14ac:dyDescent="0.25">
      <c r="A72" s="2" t="s">
        <v>83</v>
      </c>
      <c r="B72" s="2"/>
      <c r="C72" s="2">
        <v>50000955</v>
      </c>
      <c r="D72" s="2" t="s">
        <v>471</v>
      </c>
      <c r="E72" s="2" t="s">
        <v>441</v>
      </c>
      <c r="F72" s="2" t="s">
        <v>481</v>
      </c>
      <c r="G72" s="8">
        <v>32418</v>
      </c>
      <c r="H72" s="2" t="s">
        <v>84</v>
      </c>
      <c r="I72" s="2" t="s">
        <v>649</v>
      </c>
      <c r="J72" t="str">
        <f t="shared" ca="1" si="2"/>
        <v>555cm!@</v>
      </c>
      <c r="K72" t="str">
        <f t="shared" si="3"/>
        <v>Update QuestRH_Pessoas set Senha = '003cm!@' Where Nome = 'Cicero Luis De Melo';</v>
      </c>
      <c r="L72" s="2" t="s">
        <v>649</v>
      </c>
    </row>
    <row r="73" spans="1:12" hidden="1" x14ac:dyDescent="0.25">
      <c r="A73" s="2" t="s">
        <v>17</v>
      </c>
      <c r="B73" s="2"/>
      <c r="C73" s="2">
        <v>50000974</v>
      </c>
      <c r="D73" s="2" t="s">
        <v>482</v>
      </c>
      <c r="E73" s="2" t="s">
        <v>441</v>
      </c>
      <c r="F73" s="2" t="s">
        <v>483</v>
      </c>
      <c r="G73" s="8">
        <v>28409</v>
      </c>
      <c r="H73" s="2" t="s">
        <v>140</v>
      </c>
      <c r="I73" s="2" t="s">
        <v>650</v>
      </c>
      <c r="J73" t="str">
        <f t="shared" ca="1" si="2"/>
        <v>392ds!@</v>
      </c>
      <c r="K73" t="str">
        <f t="shared" si="3"/>
        <v>Update QuestRH_Pessoas set Senha = '505ds!@' Where Nome = 'Damiao Amancio de Souza';</v>
      </c>
      <c r="L73" s="2" t="s">
        <v>650</v>
      </c>
    </row>
    <row r="74" spans="1:12" hidden="1" x14ac:dyDescent="0.25">
      <c r="A74" s="2" t="s">
        <v>22</v>
      </c>
      <c r="B74" s="2"/>
      <c r="C74" s="2">
        <v>50000955</v>
      </c>
      <c r="D74" s="2" t="s">
        <v>484</v>
      </c>
      <c r="E74" s="2" t="s">
        <v>441</v>
      </c>
      <c r="F74" s="2" t="s">
        <v>485</v>
      </c>
      <c r="G74" s="8">
        <v>31948</v>
      </c>
      <c r="H74" s="2" t="s">
        <v>202</v>
      </c>
      <c r="I74" s="2" t="s">
        <v>651</v>
      </c>
      <c r="J74" t="str">
        <f t="shared" ca="1" si="2"/>
        <v>181ds!@</v>
      </c>
      <c r="K74" t="str">
        <f t="shared" si="3"/>
        <v>Update QuestRH_Pessoas set Senha = '652ds!@' Where Nome = 'David Ewerton Lourenco dos Santos Silva';</v>
      </c>
      <c r="L74" s="2" t="s">
        <v>651</v>
      </c>
    </row>
    <row r="75" spans="1:12" hidden="1" x14ac:dyDescent="0.25">
      <c r="A75" s="2" t="s">
        <v>25</v>
      </c>
      <c r="B75" s="2"/>
      <c r="C75" s="2">
        <v>50000993</v>
      </c>
      <c r="D75" s="2" t="s">
        <v>471</v>
      </c>
      <c r="E75" s="2" t="s">
        <v>441</v>
      </c>
      <c r="F75" s="2" t="s">
        <v>486</v>
      </c>
      <c r="G75" s="8">
        <v>29938</v>
      </c>
      <c r="H75" s="2" t="s">
        <v>90</v>
      </c>
      <c r="I75" s="2" t="s">
        <v>652</v>
      </c>
      <c r="J75" t="str">
        <f t="shared" ca="1" si="2"/>
        <v>938dc!@</v>
      </c>
      <c r="K75" t="str">
        <f t="shared" si="3"/>
        <v>Update QuestRH_Pessoas set Senha = '530dc!@' Where Nome = 'Deijanes Ferreira Costa';</v>
      </c>
      <c r="L75" s="2" t="s">
        <v>652</v>
      </c>
    </row>
    <row r="76" spans="1:12" hidden="1" x14ac:dyDescent="0.25">
      <c r="A76" s="2" t="s">
        <v>30</v>
      </c>
      <c r="B76" s="2"/>
      <c r="C76" s="2">
        <v>50000996</v>
      </c>
      <c r="D76" s="2" t="s">
        <v>484</v>
      </c>
      <c r="E76" s="2" t="s">
        <v>441</v>
      </c>
      <c r="F76" s="2" t="s">
        <v>487</v>
      </c>
      <c r="G76" s="8">
        <v>29604</v>
      </c>
      <c r="H76" s="2" t="s">
        <v>177</v>
      </c>
      <c r="I76" s="2" t="s">
        <v>653</v>
      </c>
      <c r="J76" t="str">
        <f t="shared" ca="1" si="2"/>
        <v>661dd!@</v>
      </c>
      <c r="K76" t="str">
        <f t="shared" si="3"/>
        <v>Update QuestRH_Pessoas set Senha = '180dd!@' Where Nome = 'Devani Guedes de Carvalho Dantas';</v>
      </c>
      <c r="L76" s="2" t="s">
        <v>653</v>
      </c>
    </row>
    <row r="77" spans="1:12" hidden="1" x14ac:dyDescent="0.25">
      <c r="A77" s="2" t="s">
        <v>32</v>
      </c>
      <c r="B77" s="2"/>
      <c r="C77" s="2">
        <v>50000996</v>
      </c>
      <c r="D77" s="2" t="s">
        <v>488</v>
      </c>
      <c r="E77" s="2" t="s">
        <v>441</v>
      </c>
      <c r="F77" s="2" t="s">
        <v>489</v>
      </c>
      <c r="G77" s="8">
        <v>24629</v>
      </c>
      <c r="H77" s="2" t="s">
        <v>178</v>
      </c>
      <c r="I77" s="2" t="s">
        <v>654</v>
      </c>
      <c r="J77" t="str">
        <f t="shared" ca="1" si="2"/>
        <v>034dm!@</v>
      </c>
      <c r="K77" t="str">
        <f t="shared" si="3"/>
        <v>Update QuestRH_Pessoas set Senha = '639dm!@' Where Nome = 'Devanir Pereira Magalhaes';</v>
      </c>
      <c r="L77" s="2" t="s">
        <v>654</v>
      </c>
    </row>
    <row r="78" spans="1:12" hidden="1" x14ac:dyDescent="0.25">
      <c r="A78" s="2" t="s">
        <v>141</v>
      </c>
      <c r="B78" s="2"/>
      <c r="C78" s="2">
        <v>50000974</v>
      </c>
      <c r="D78" s="2" t="s">
        <v>490</v>
      </c>
      <c r="E78" s="2" t="s">
        <v>441</v>
      </c>
      <c r="F78" s="2" t="s">
        <v>491</v>
      </c>
      <c r="G78" s="8">
        <v>28408</v>
      </c>
      <c r="H78" s="2" t="s">
        <v>142</v>
      </c>
      <c r="I78" s="2" t="s">
        <v>655</v>
      </c>
      <c r="J78" t="str">
        <f t="shared" ca="1" si="2"/>
        <v>978eg!@</v>
      </c>
      <c r="K78" t="str">
        <f t="shared" si="3"/>
        <v>Update QuestRH_Pessoas set Senha = '752eg!@' Where Nome = 'Elias Cesario Gomes';</v>
      </c>
      <c r="L78" s="2" t="s">
        <v>655</v>
      </c>
    </row>
    <row r="79" spans="1:12" hidden="1" x14ac:dyDescent="0.25">
      <c r="A79" s="2" t="s">
        <v>41</v>
      </c>
      <c r="B79" s="2"/>
      <c r="C79" s="2">
        <v>50000974</v>
      </c>
      <c r="D79" s="2" t="s">
        <v>492</v>
      </c>
      <c r="E79" s="2" t="s">
        <v>441</v>
      </c>
      <c r="F79" s="2" t="s">
        <v>493</v>
      </c>
      <c r="G79" s="8">
        <v>35185</v>
      </c>
      <c r="H79" s="2" t="s">
        <v>143</v>
      </c>
      <c r="I79" s="2" t="s">
        <v>656</v>
      </c>
      <c r="J79" t="str">
        <f t="shared" ca="1" si="2"/>
        <v>430er!@</v>
      </c>
      <c r="K79" t="str">
        <f t="shared" si="3"/>
        <v>Update QuestRH_Pessoas set Senha = '882er!@' Where Nome = 'Esmael da Silva Ribeiro';</v>
      </c>
      <c r="L79" s="2" t="s">
        <v>656</v>
      </c>
    </row>
    <row r="80" spans="1:12" hidden="1" x14ac:dyDescent="0.25">
      <c r="A80" s="2" t="s">
        <v>120</v>
      </c>
      <c r="B80" s="2" t="s">
        <v>121</v>
      </c>
      <c r="C80" s="2">
        <v>103009</v>
      </c>
      <c r="D80" s="2" t="s">
        <v>439</v>
      </c>
      <c r="E80" s="2" t="s">
        <v>438</v>
      </c>
      <c r="F80" s="2"/>
      <c r="G80" s="2"/>
      <c r="H80" s="2" t="s">
        <v>122</v>
      </c>
      <c r="I80" s="2" t="s">
        <v>657</v>
      </c>
      <c r="J80" t="str">
        <f t="shared" ca="1" si="2"/>
        <v>668ep!@</v>
      </c>
      <c r="K80" t="str">
        <f t="shared" si="3"/>
        <v>Update QuestRH_Pessoas set Senha = '974ep!@' Where Nome = 'Everaldo Matias Pontes';</v>
      </c>
      <c r="L80" s="2" t="s">
        <v>657</v>
      </c>
    </row>
    <row r="81" spans="1:12" hidden="1" x14ac:dyDescent="0.25">
      <c r="A81" s="2" t="s">
        <v>148</v>
      </c>
      <c r="B81" s="11" t="s">
        <v>149</v>
      </c>
      <c r="C81" s="2">
        <v>50000990</v>
      </c>
      <c r="D81" s="2" t="s">
        <v>494</v>
      </c>
      <c r="E81" s="2" t="s">
        <v>441</v>
      </c>
      <c r="F81" s="2"/>
      <c r="G81" s="2"/>
      <c r="H81" s="2" t="s">
        <v>150</v>
      </c>
      <c r="I81" s="2" t="s">
        <v>658</v>
      </c>
      <c r="J81" t="str">
        <f t="shared" ca="1" si="2"/>
        <v>333fs!@</v>
      </c>
      <c r="K81" t="str">
        <f t="shared" si="3"/>
        <v>Update QuestRH_Pessoas set Senha = '668fs!@' Where Nome = 'Fabiano Brenno de Sousa';</v>
      </c>
      <c r="L81" s="2" t="s">
        <v>658</v>
      </c>
    </row>
    <row r="82" spans="1:12" hidden="1" x14ac:dyDescent="0.25">
      <c r="A82" s="2" t="s">
        <v>42</v>
      </c>
      <c r="B82" s="2"/>
      <c r="C82" s="2">
        <v>50000996</v>
      </c>
      <c r="D82" s="2" t="s">
        <v>492</v>
      </c>
      <c r="E82" s="2" t="s">
        <v>441</v>
      </c>
      <c r="F82" s="2" t="s">
        <v>495</v>
      </c>
      <c r="G82" s="8">
        <v>28720</v>
      </c>
      <c r="H82" s="2" t="s">
        <v>179</v>
      </c>
      <c r="I82" s="2" t="s">
        <v>659</v>
      </c>
      <c r="J82" t="str">
        <f t="shared" ca="1" si="2"/>
        <v>682fs!@</v>
      </c>
      <c r="K82" t="str">
        <f t="shared" si="3"/>
        <v>Update QuestRH_Pessoas set Senha = '784fs!@' Where Nome = 'Fabio de Oliveira Serejo';</v>
      </c>
      <c r="L82" s="2" t="s">
        <v>659</v>
      </c>
    </row>
    <row r="83" spans="1:12" hidden="1" x14ac:dyDescent="0.25">
      <c r="A83" s="2" t="s">
        <v>144</v>
      </c>
      <c r="B83" s="2"/>
      <c r="C83" s="2">
        <v>50000974</v>
      </c>
      <c r="D83" s="2" t="s">
        <v>490</v>
      </c>
      <c r="E83" s="2" t="s">
        <v>441</v>
      </c>
      <c r="F83" s="2" t="s">
        <v>496</v>
      </c>
      <c r="G83" s="8">
        <v>24900</v>
      </c>
      <c r="H83" s="2" t="s">
        <v>145</v>
      </c>
      <c r="I83" s="2" t="s">
        <v>660</v>
      </c>
      <c r="J83" t="str">
        <f t="shared" ca="1" si="2"/>
        <v>230fo!@</v>
      </c>
      <c r="K83" t="str">
        <f t="shared" si="3"/>
        <v>Update QuestRH_Pessoas set Senha = '747fo!@' Where Nome = 'Fabio Donizete de Oliveira';</v>
      </c>
      <c r="L83" s="2" t="s">
        <v>660</v>
      </c>
    </row>
    <row r="84" spans="1:12" hidden="1" x14ac:dyDescent="0.25">
      <c r="A84" s="2" t="s">
        <v>70</v>
      </c>
      <c r="B84" s="2"/>
      <c r="C84" s="2">
        <v>50000996</v>
      </c>
      <c r="D84" s="2" t="s">
        <v>471</v>
      </c>
      <c r="E84" s="2" t="s">
        <v>441</v>
      </c>
      <c r="F84" s="2" t="s">
        <v>497</v>
      </c>
      <c r="G84" s="8">
        <v>22986</v>
      </c>
      <c r="H84" s="2" t="s">
        <v>199</v>
      </c>
      <c r="I84" s="2" t="s">
        <v>661</v>
      </c>
      <c r="J84" t="str">
        <f t="shared" ca="1" si="2"/>
        <v>388gs!@</v>
      </c>
      <c r="K84" t="str">
        <f t="shared" si="3"/>
        <v>Update QuestRH_Pessoas set Senha = '712gs!@' Where Nome = 'Goncalo Manoel da Silva';</v>
      </c>
      <c r="L84" s="2" t="s">
        <v>661</v>
      </c>
    </row>
    <row r="85" spans="1:12" hidden="1" x14ac:dyDescent="0.25">
      <c r="A85" s="2" t="s">
        <v>169</v>
      </c>
      <c r="B85" s="2" t="s">
        <v>170</v>
      </c>
      <c r="C85" s="2">
        <v>103003</v>
      </c>
      <c r="D85" s="2" t="s">
        <v>498</v>
      </c>
      <c r="E85" s="2" t="s">
        <v>438</v>
      </c>
      <c r="F85" s="2"/>
      <c r="G85" s="2"/>
      <c r="H85" s="2" t="s">
        <v>171</v>
      </c>
      <c r="I85" s="2" t="s">
        <v>662</v>
      </c>
      <c r="J85" t="str">
        <f t="shared" ca="1" si="2"/>
        <v>681gs!@</v>
      </c>
      <c r="K85" t="str">
        <f t="shared" si="3"/>
        <v>Update QuestRH_Pessoas set Senha = '942gs!@' Where Nome = 'Guilherme Sala Silva';</v>
      </c>
      <c r="L85" s="2" t="s">
        <v>662</v>
      </c>
    </row>
    <row r="86" spans="1:12" hidden="1" x14ac:dyDescent="0.25">
      <c r="A86" s="2" t="s">
        <v>193</v>
      </c>
      <c r="B86" s="2" t="s">
        <v>194</v>
      </c>
      <c r="C86" s="2">
        <v>50000974</v>
      </c>
      <c r="D86" s="2" t="s">
        <v>494</v>
      </c>
      <c r="E86" s="2" t="s">
        <v>441</v>
      </c>
      <c r="F86" s="2"/>
      <c r="G86" s="2"/>
      <c r="H86" s="2" t="s">
        <v>195</v>
      </c>
      <c r="I86" s="2" t="s">
        <v>663</v>
      </c>
      <c r="J86" t="str">
        <f t="shared" ca="1" si="2"/>
        <v>830ia!@</v>
      </c>
      <c r="K86" t="str">
        <f t="shared" si="3"/>
        <v>Update QuestRH_Pessoas set Senha = '697ia!@' Where Nome = 'Italo Cesar Andrade';</v>
      </c>
      <c r="L86" s="2" t="s">
        <v>663</v>
      </c>
    </row>
    <row r="87" spans="1:12" hidden="1" x14ac:dyDescent="0.25">
      <c r="A87" s="2" t="s">
        <v>72</v>
      </c>
      <c r="B87" s="2"/>
      <c r="C87" s="2">
        <v>50000990</v>
      </c>
      <c r="D87" s="2" t="s">
        <v>478</v>
      </c>
      <c r="E87" s="2" t="s">
        <v>441</v>
      </c>
      <c r="F87" s="2" t="s">
        <v>499</v>
      </c>
      <c r="G87" s="8">
        <v>29528</v>
      </c>
      <c r="H87" s="2" t="s">
        <v>133</v>
      </c>
      <c r="I87" s="2" t="s">
        <v>664</v>
      </c>
      <c r="J87" t="str">
        <f t="shared" ca="1" si="2"/>
        <v>266is!@</v>
      </c>
      <c r="K87" t="str">
        <f t="shared" si="3"/>
        <v>Update QuestRH_Pessoas set Senha = '959is!@' Where Nome = 'Izaias da Silva Santos';</v>
      </c>
      <c r="L87" s="2" t="s">
        <v>664</v>
      </c>
    </row>
    <row r="88" spans="1:12" hidden="1" x14ac:dyDescent="0.25">
      <c r="A88" s="2" t="s">
        <v>97</v>
      </c>
      <c r="B88" s="2"/>
      <c r="C88" s="2">
        <v>50000981</v>
      </c>
      <c r="D88" s="2" t="s">
        <v>500</v>
      </c>
      <c r="E88" s="2" t="s">
        <v>441</v>
      </c>
      <c r="F88" s="2" t="s">
        <v>501</v>
      </c>
      <c r="G88" s="8">
        <v>28415</v>
      </c>
      <c r="H88" s="2" t="s">
        <v>98</v>
      </c>
      <c r="I88" s="2" t="s">
        <v>665</v>
      </c>
      <c r="J88" t="str">
        <f t="shared" ca="1" si="2"/>
        <v>137jc!@</v>
      </c>
      <c r="K88" t="str">
        <f t="shared" si="3"/>
        <v>Update QuestRH_Pessoas set Senha = '519jc!@' Where Nome = 'James Alembert Custodio';</v>
      </c>
      <c r="L88" s="2" t="s">
        <v>665</v>
      </c>
    </row>
    <row r="89" spans="1:12" hidden="1" x14ac:dyDescent="0.25">
      <c r="A89" s="2" t="s">
        <v>67</v>
      </c>
      <c r="B89" s="2" t="s">
        <v>502</v>
      </c>
      <c r="C89" s="2">
        <v>103017</v>
      </c>
      <c r="D89" s="2" t="s">
        <v>439</v>
      </c>
      <c r="E89" s="2" t="s">
        <v>457</v>
      </c>
      <c r="F89" s="2"/>
      <c r="G89" s="2"/>
      <c r="H89" s="2" t="s">
        <v>503</v>
      </c>
      <c r="I89" s="2" t="s">
        <v>666</v>
      </c>
      <c r="J89" t="str">
        <f t="shared" ca="1" si="2"/>
        <v>534jf!@</v>
      </c>
      <c r="K89" t="str">
        <f t="shared" si="3"/>
        <v>Update QuestRH_Pessoas set Senha = '629jf!@' Where Nome = 'João Fernandes';</v>
      </c>
      <c r="L89" s="2" t="s">
        <v>666</v>
      </c>
    </row>
    <row r="90" spans="1:12" hidden="1" x14ac:dyDescent="0.25">
      <c r="A90" s="2" t="s">
        <v>46</v>
      </c>
      <c r="B90" s="2"/>
      <c r="C90" s="2">
        <v>50000996</v>
      </c>
      <c r="D90" s="2" t="s">
        <v>465</v>
      </c>
      <c r="E90" s="2" t="s">
        <v>441</v>
      </c>
      <c r="F90" s="2" t="s">
        <v>504</v>
      </c>
      <c r="G90" s="8">
        <v>30508</v>
      </c>
      <c r="H90" s="2" t="s">
        <v>180</v>
      </c>
      <c r="I90" s="2" t="s">
        <v>667</v>
      </c>
      <c r="J90" t="str">
        <f t="shared" ca="1" si="2"/>
        <v>538js!@</v>
      </c>
      <c r="K90" t="str">
        <f t="shared" si="3"/>
        <v>Update QuestRH_Pessoas set Senha = '878js!@' Where Nome = 'Joao Herlandio Da Silva';</v>
      </c>
      <c r="L90" s="2" t="s">
        <v>667</v>
      </c>
    </row>
    <row r="91" spans="1:12" hidden="1" x14ac:dyDescent="0.25">
      <c r="A91" s="2" t="s">
        <v>76</v>
      </c>
      <c r="B91" s="2"/>
      <c r="C91" s="2">
        <v>50000990</v>
      </c>
      <c r="D91" s="2" t="s">
        <v>478</v>
      </c>
      <c r="E91" s="2" t="s">
        <v>441</v>
      </c>
      <c r="F91" s="2" t="s">
        <v>505</v>
      </c>
      <c r="G91" s="8">
        <v>34648</v>
      </c>
      <c r="H91" s="2" t="s">
        <v>134</v>
      </c>
      <c r="I91" s="2" t="s">
        <v>668</v>
      </c>
      <c r="J91" t="str">
        <f t="shared" ca="1" si="2"/>
        <v>428js!@</v>
      </c>
      <c r="K91" t="str">
        <f t="shared" si="3"/>
        <v>Update QuestRH_Pessoas set Senha = '153js!@' Where Nome = 'Jose Cicero da Silva';</v>
      </c>
      <c r="L91" s="2" t="s">
        <v>668</v>
      </c>
    </row>
    <row r="92" spans="1:12" hidden="1" x14ac:dyDescent="0.25">
      <c r="A92" s="2" t="s">
        <v>47</v>
      </c>
      <c r="B92" s="2"/>
      <c r="C92" s="2">
        <v>103017</v>
      </c>
      <c r="D92" s="2" t="s">
        <v>478</v>
      </c>
      <c r="E92" s="2" t="s">
        <v>457</v>
      </c>
      <c r="F92" s="2" t="s">
        <v>506</v>
      </c>
      <c r="G92" s="8">
        <v>26709</v>
      </c>
      <c r="H92" s="2" t="s">
        <v>128</v>
      </c>
      <c r="I92" s="2" t="s">
        <v>669</v>
      </c>
      <c r="J92" t="str">
        <f t="shared" ca="1" si="2"/>
        <v>574jp!@</v>
      </c>
      <c r="K92" t="str">
        <f t="shared" si="3"/>
        <v>Update QuestRH_Pessoas set Senha = '673jp!@' Where Nome = 'Jose Cicero Paulo da Silva';</v>
      </c>
      <c r="L92" s="2" t="s">
        <v>669</v>
      </c>
    </row>
    <row r="93" spans="1:12" hidden="1" x14ac:dyDescent="0.25">
      <c r="A93" s="2" t="s">
        <v>203</v>
      </c>
      <c r="B93" s="2"/>
      <c r="C93" s="2">
        <v>50000995</v>
      </c>
      <c r="D93" s="2" t="s">
        <v>507</v>
      </c>
      <c r="E93" s="2" t="s">
        <v>441</v>
      </c>
      <c r="F93" s="2" t="s">
        <v>508</v>
      </c>
      <c r="G93" s="8">
        <v>25031</v>
      </c>
      <c r="H93" s="2" t="s">
        <v>204</v>
      </c>
      <c r="I93" s="2" t="s">
        <v>670</v>
      </c>
      <c r="J93" t="str">
        <f t="shared" ca="1" si="2"/>
        <v>141jp!@</v>
      </c>
      <c r="K93" t="str">
        <f t="shared" si="3"/>
        <v>Update QuestRH_Pessoas set Senha = '834jp!@' Where Nome = 'Jose da Paz Bezarrias Silva';</v>
      </c>
      <c r="L93" s="2" t="s">
        <v>670</v>
      </c>
    </row>
    <row r="94" spans="1:12" hidden="1" x14ac:dyDescent="0.25">
      <c r="A94" s="2" t="s">
        <v>78</v>
      </c>
      <c r="B94" s="2"/>
      <c r="C94" s="2">
        <v>50000990</v>
      </c>
      <c r="D94" s="2" t="s">
        <v>478</v>
      </c>
      <c r="E94" s="2" t="s">
        <v>441</v>
      </c>
      <c r="F94" s="2" t="s">
        <v>509</v>
      </c>
      <c r="G94" s="8">
        <v>28945</v>
      </c>
      <c r="H94" s="2" t="s">
        <v>135</v>
      </c>
      <c r="I94" s="2" t="s">
        <v>671</v>
      </c>
      <c r="J94" t="str">
        <f t="shared" ca="1" si="2"/>
        <v>164jm!@</v>
      </c>
      <c r="K94" t="str">
        <f t="shared" si="3"/>
        <v>Update QuestRH_Pessoas set Senha = '455jm!@' Where Nome = 'Jose Luiz de Melo';</v>
      </c>
      <c r="L94" s="2" t="s">
        <v>671</v>
      </c>
    </row>
    <row r="95" spans="1:12" hidden="1" x14ac:dyDescent="0.25">
      <c r="A95" s="2" t="s">
        <v>82</v>
      </c>
      <c r="B95" s="2"/>
      <c r="C95" s="2">
        <v>50000990</v>
      </c>
      <c r="D95" s="2" t="s">
        <v>478</v>
      </c>
      <c r="E95" s="2" t="s">
        <v>441</v>
      </c>
      <c r="F95" s="2" t="s">
        <v>510</v>
      </c>
      <c r="G95" s="8">
        <v>23920</v>
      </c>
      <c r="H95" s="2" t="s">
        <v>136</v>
      </c>
      <c r="I95" s="2" t="s">
        <v>672</v>
      </c>
      <c r="J95" t="str">
        <f t="shared" ca="1" si="2"/>
        <v>407jm!@</v>
      </c>
      <c r="K95" t="str">
        <f t="shared" si="3"/>
        <v>Update QuestRH_Pessoas set Senha = '226jm!@' Where Nome = 'Jose Manoel da Silva';</v>
      </c>
      <c r="L95" s="2" t="s">
        <v>672</v>
      </c>
    </row>
    <row r="96" spans="1:12" hidden="1" x14ac:dyDescent="0.25">
      <c r="A96" s="2" t="s">
        <v>181</v>
      </c>
      <c r="B96" s="2"/>
      <c r="C96" s="2">
        <v>50000996</v>
      </c>
      <c r="D96" s="2" t="s">
        <v>484</v>
      </c>
      <c r="E96" s="2" t="s">
        <v>441</v>
      </c>
      <c r="F96" s="2" t="s">
        <v>511</v>
      </c>
      <c r="G96" s="8">
        <v>30700</v>
      </c>
      <c r="H96" s="2" t="s">
        <v>182</v>
      </c>
      <c r="I96" s="2" t="s">
        <v>673</v>
      </c>
      <c r="J96" t="str">
        <f t="shared" ca="1" si="2"/>
        <v>661js!@</v>
      </c>
      <c r="K96" t="str">
        <f t="shared" si="3"/>
        <v>Update QuestRH_Pessoas set Senha = '250js!@' Where Nome = 'Josenildo Vieira de Souza';</v>
      </c>
      <c r="L96" s="2" t="s">
        <v>673</v>
      </c>
    </row>
    <row r="97" spans="1:12" hidden="1" x14ac:dyDescent="0.25">
      <c r="A97" s="2" t="s">
        <v>86</v>
      </c>
      <c r="B97" s="2"/>
      <c r="C97" s="2">
        <v>50000955</v>
      </c>
      <c r="D97" s="2" t="s">
        <v>512</v>
      </c>
      <c r="E97" s="2" t="s">
        <v>441</v>
      </c>
      <c r="F97" s="2" t="s">
        <v>513</v>
      </c>
      <c r="G97" s="8">
        <v>28243</v>
      </c>
      <c r="H97" s="2" t="s">
        <v>87</v>
      </c>
      <c r="I97" s="2" t="s">
        <v>674</v>
      </c>
      <c r="J97" t="str">
        <f t="shared" ca="1" si="2"/>
        <v>804js!@</v>
      </c>
      <c r="K97" t="str">
        <f t="shared" si="3"/>
        <v>Update QuestRH_Pessoas set Senha = '162js!@' Where Nome = 'Josiel de Oliveira Silva';</v>
      </c>
      <c r="L97" s="2" t="s">
        <v>674</v>
      </c>
    </row>
    <row r="98" spans="1:12" hidden="1" x14ac:dyDescent="0.25">
      <c r="A98" s="2" t="s">
        <v>85</v>
      </c>
      <c r="B98" s="2"/>
      <c r="C98" s="2">
        <v>50000990</v>
      </c>
      <c r="D98" s="2" t="s">
        <v>478</v>
      </c>
      <c r="E98" s="2" t="s">
        <v>441</v>
      </c>
      <c r="F98" s="2" t="s">
        <v>514</v>
      </c>
      <c r="G98" s="8">
        <v>34955</v>
      </c>
      <c r="H98" s="2" t="s">
        <v>137</v>
      </c>
      <c r="I98" s="2" t="s">
        <v>675</v>
      </c>
      <c r="J98" t="str">
        <f t="shared" ca="1" si="2"/>
        <v>341ls!@</v>
      </c>
      <c r="K98" t="str">
        <f t="shared" si="3"/>
        <v>Update QuestRH_Pessoas set Senha = '708ls!@' Where Nome = 'Leonardo Barros Santos';</v>
      </c>
      <c r="L98" s="2" t="s">
        <v>675</v>
      </c>
    </row>
    <row r="99" spans="1:12" hidden="1" x14ac:dyDescent="0.25">
      <c r="A99" s="2" t="s">
        <v>129</v>
      </c>
      <c r="B99" s="2"/>
      <c r="C99" s="2">
        <v>50000990</v>
      </c>
      <c r="D99" s="2" t="s">
        <v>500</v>
      </c>
      <c r="E99" s="2" t="s">
        <v>441</v>
      </c>
      <c r="F99" s="2" t="s">
        <v>515</v>
      </c>
      <c r="G99" s="8">
        <v>33636</v>
      </c>
      <c r="H99" s="2" t="s">
        <v>130</v>
      </c>
      <c r="I99" s="2" t="s">
        <v>676</v>
      </c>
      <c r="J99" t="str">
        <f t="shared" ca="1" si="2"/>
        <v>284ms!@</v>
      </c>
      <c r="K99" t="str">
        <f t="shared" si="3"/>
        <v>Update QuestRH_Pessoas set Senha = '187ms!@' Where Nome = 'Marcilio da Silva';</v>
      </c>
      <c r="L99" s="2" t="s">
        <v>676</v>
      </c>
    </row>
    <row r="100" spans="1:12" hidden="1" x14ac:dyDescent="0.25">
      <c r="A100" s="2" t="s">
        <v>225</v>
      </c>
      <c r="B100" s="2" t="s">
        <v>233</v>
      </c>
      <c r="C100" s="2">
        <v>50000103</v>
      </c>
      <c r="D100" s="2" t="s">
        <v>516</v>
      </c>
      <c r="E100" s="2" t="s">
        <v>457</v>
      </c>
      <c r="F100" s="2"/>
      <c r="G100" s="2"/>
      <c r="H100" s="2" t="s">
        <v>226</v>
      </c>
      <c r="I100" s="2" t="s">
        <v>677</v>
      </c>
      <c r="J100" t="str">
        <f t="shared" ca="1" si="2"/>
        <v>998mn!@</v>
      </c>
      <c r="K100" t="str">
        <f t="shared" si="3"/>
        <v>Update QuestRH_Pessoas set Senha = '632mn!@' Where Nome = 'Marcos Roberto Nunes de Sousa';</v>
      </c>
      <c r="L100" s="2" t="s">
        <v>677</v>
      </c>
    </row>
    <row r="101" spans="1:12" hidden="1" x14ac:dyDescent="0.25">
      <c r="A101" s="2" t="s">
        <v>237</v>
      </c>
      <c r="B101" s="2" t="s">
        <v>238</v>
      </c>
      <c r="C101" s="2">
        <v>50000981</v>
      </c>
      <c r="D101" s="2" t="s">
        <v>517</v>
      </c>
      <c r="E101" s="2" t="s">
        <v>441</v>
      </c>
      <c r="F101" s="2"/>
      <c r="G101" s="2"/>
      <c r="H101" s="2" t="s">
        <v>239</v>
      </c>
      <c r="I101" s="2" t="s">
        <v>678</v>
      </c>
      <c r="J101" t="str">
        <f t="shared" ca="1" si="2"/>
        <v>834ms!@</v>
      </c>
      <c r="K101" t="str">
        <f t="shared" si="3"/>
        <v>Update QuestRH_Pessoas set Senha = '955ms!@' Where Nome = 'Maria Raimunda Ferreira de Sousa';</v>
      </c>
      <c r="L101" s="2" t="s">
        <v>678</v>
      </c>
    </row>
    <row r="102" spans="1:12" hidden="1" x14ac:dyDescent="0.25">
      <c r="A102" s="2" t="s">
        <v>191</v>
      </c>
      <c r="B102" s="2"/>
      <c r="C102" s="2">
        <v>50000996</v>
      </c>
      <c r="D102" s="2" t="s">
        <v>518</v>
      </c>
      <c r="E102" s="2" t="s">
        <v>441</v>
      </c>
      <c r="F102" s="2" t="s">
        <v>519</v>
      </c>
      <c r="G102" s="8">
        <v>23103</v>
      </c>
      <c r="H102" s="2" t="s">
        <v>192</v>
      </c>
      <c r="I102" s="2" t="s">
        <v>679</v>
      </c>
      <c r="J102" t="str">
        <f t="shared" ca="1" si="2"/>
        <v>914mc!@</v>
      </c>
      <c r="K102" t="str">
        <f t="shared" si="3"/>
        <v>Update QuestRH_Pessoas set Senha = '675mc!@' Where Nome = 'Mauro Ferreira da Costa';</v>
      </c>
      <c r="L102" s="2" t="s">
        <v>679</v>
      </c>
    </row>
    <row r="103" spans="1:12" hidden="1" x14ac:dyDescent="0.25">
      <c r="A103" s="2" t="s">
        <v>57</v>
      </c>
      <c r="B103" s="2"/>
      <c r="C103" s="2">
        <v>50000996</v>
      </c>
      <c r="D103" s="2" t="s">
        <v>474</v>
      </c>
      <c r="E103" s="2" t="s">
        <v>441</v>
      </c>
      <c r="F103" s="2" t="s">
        <v>520</v>
      </c>
      <c r="G103" s="8">
        <v>31909</v>
      </c>
      <c r="H103" s="2" t="s">
        <v>101</v>
      </c>
      <c r="I103" s="2" t="s">
        <v>680</v>
      </c>
      <c r="J103" t="str">
        <f t="shared" ca="1" si="2"/>
        <v>383nn!@</v>
      </c>
      <c r="K103" t="str">
        <f t="shared" si="3"/>
        <v>Update QuestRH_Pessoas set Senha = '202nn!@' Where Nome = 'Nazareno Luiz da Silva Neto';</v>
      </c>
      <c r="L103" s="2" t="s">
        <v>680</v>
      </c>
    </row>
    <row r="104" spans="1:12" hidden="1" x14ac:dyDescent="0.25">
      <c r="A104" s="2" t="s">
        <v>102</v>
      </c>
      <c r="B104" s="2"/>
      <c r="C104" s="2">
        <v>50000981</v>
      </c>
      <c r="D104" s="2" t="s">
        <v>488</v>
      </c>
      <c r="E104" s="2" t="s">
        <v>441</v>
      </c>
      <c r="F104" s="2" t="s">
        <v>521</v>
      </c>
      <c r="G104" s="8">
        <v>22464</v>
      </c>
      <c r="H104" s="2" t="s">
        <v>103</v>
      </c>
      <c r="I104" s="2" t="s">
        <v>681</v>
      </c>
      <c r="J104" t="str">
        <f t="shared" ca="1" si="2"/>
        <v>041pc!@</v>
      </c>
      <c r="K104" t="str">
        <f t="shared" si="3"/>
        <v>Update QuestRH_Pessoas set Senha = '745pc!@' Where Nome = 'Paulo Ferreira Da Costa';</v>
      </c>
      <c r="L104" s="2" t="s">
        <v>681</v>
      </c>
    </row>
    <row r="105" spans="1:12" hidden="1" x14ac:dyDescent="0.25">
      <c r="A105" s="2" t="s">
        <v>104</v>
      </c>
      <c r="B105" s="2"/>
      <c r="C105" s="2">
        <v>50000981</v>
      </c>
      <c r="D105" s="2" t="s">
        <v>484</v>
      </c>
      <c r="E105" s="2" t="s">
        <v>441</v>
      </c>
      <c r="F105" s="2" t="s">
        <v>522</v>
      </c>
      <c r="G105" s="8">
        <v>35598</v>
      </c>
      <c r="H105" s="2" t="s">
        <v>105</v>
      </c>
      <c r="I105" s="2" t="s">
        <v>682</v>
      </c>
      <c r="J105" t="str">
        <f t="shared" ca="1" si="2"/>
        <v>681rs!@</v>
      </c>
      <c r="K105" t="str">
        <f t="shared" si="3"/>
        <v>Update QuestRH_Pessoas set Senha = '390rs!@' Where Nome = 'Rauan Luiz da Silva';</v>
      </c>
      <c r="L105" s="2" t="s">
        <v>682</v>
      </c>
    </row>
    <row r="106" spans="1:12" hidden="1" x14ac:dyDescent="0.25">
      <c r="A106" s="2" t="s">
        <v>251</v>
      </c>
      <c r="B106" s="2" t="s">
        <v>252</v>
      </c>
      <c r="C106" s="2">
        <v>50000974</v>
      </c>
      <c r="D106" s="2" t="s">
        <v>494</v>
      </c>
      <c r="E106" s="2" t="s">
        <v>441</v>
      </c>
      <c r="F106" s="2"/>
      <c r="G106" s="2"/>
      <c r="H106" s="2" t="s">
        <v>253</v>
      </c>
      <c r="I106" s="2" t="s">
        <v>683</v>
      </c>
      <c r="J106" t="str">
        <f t="shared" ca="1" si="2"/>
        <v>775rc!@</v>
      </c>
      <c r="K106" t="str">
        <f t="shared" si="3"/>
        <v>Update QuestRH_Pessoas set Senha = '297rc!@' Where Nome = 'Renan Vieira Cunha';</v>
      </c>
      <c r="L106" s="2" t="s">
        <v>683</v>
      </c>
    </row>
    <row r="107" spans="1:12" hidden="1" x14ac:dyDescent="0.25">
      <c r="A107" s="2" t="s">
        <v>58</v>
      </c>
      <c r="B107" s="2"/>
      <c r="C107" s="2">
        <v>50000974</v>
      </c>
      <c r="D107" s="2" t="s">
        <v>474</v>
      </c>
      <c r="E107" s="2" t="s">
        <v>441</v>
      </c>
      <c r="F107" s="2" t="s">
        <v>523</v>
      </c>
      <c r="G107" s="8">
        <v>34123</v>
      </c>
      <c r="H107" s="2" t="s">
        <v>146</v>
      </c>
      <c r="I107" s="2" t="s">
        <v>684</v>
      </c>
      <c r="J107" t="str">
        <f t="shared" ca="1" si="2"/>
        <v>551rs!@</v>
      </c>
      <c r="K107" t="str">
        <f t="shared" si="3"/>
        <v>Update QuestRH_Pessoas set Senha = '227rs!@' Where Nome = 'Romilson Luiz da Silva';</v>
      </c>
      <c r="L107" s="2" t="s">
        <v>684</v>
      </c>
    </row>
    <row r="108" spans="1:12" hidden="1" x14ac:dyDescent="0.25">
      <c r="A108" s="2" t="s">
        <v>62</v>
      </c>
      <c r="B108" s="2"/>
      <c r="C108" s="2">
        <v>50000955</v>
      </c>
      <c r="D108" s="2" t="s">
        <v>474</v>
      </c>
      <c r="E108" s="2" t="s">
        <v>441</v>
      </c>
      <c r="F108" s="2" t="s">
        <v>524</v>
      </c>
      <c r="G108" s="8">
        <v>26380</v>
      </c>
      <c r="H108" s="2" t="s">
        <v>205</v>
      </c>
      <c r="I108" s="2" t="s">
        <v>685</v>
      </c>
      <c r="J108" t="str">
        <f t="shared" ca="1" si="2"/>
        <v>584ss!@</v>
      </c>
      <c r="K108" t="str">
        <f t="shared" si="3"/>
        <v>Update QuestRH_Pessoas set Senha = '743ss!@' Where Nome = 'Silvio Bezerra da Silva';</v>
      </c>
      <c r="L108" s="2" t="s">
        <v>685</v>
      </c>
    </row>
    <row r="109" spans="1:12" hidden="1" x14ac:dyDescent="0.25">
      <c r="A109" s="2" t="s">
        <v>11</v>
      </c>
      <c r="B109" s="2"/>
      <c r="C109" s="2">
        <v>50000990</v>
      </c>
      <c r="D109" s="2" t="s">
        <v>525</v>
      </c>
      <c r="E109" s="2" t="s">
        <v>441</v>
      </c>
      <c r="F109" s="2" t="s">
        <v>526</v>
      </c>
      <c r="G109" s="8">
        <v>31379</v>
      </c>
      <c r="H109" s="2" t="s">
        <v>12</v>
      </c>
      <c r="I109" s="2" t="s">
        <v>686</v>
      </c>
      <c r="J109" t="str">
        <f t="shared" ca="1" si="2"/>
        <v>370sa!@</v>
      </c>
      <c r="K109" t="str">
        <f t="shared" si="3"/>
        <v>Update QuestRH_Pessoas set Senha = '887sa!@' Where Nome = 'Silvio Gomes de Almeida';</v>
      </c>
      <c r="L109" s="2" t="s">
        <v>686</v>
      </c>
    </row>
    <row r="110" spans="1:12" hidden="1" x14ac:dyDescent="0.25">
      <c r="A110" s="2" t="s">
        <v>274</v>
      </c>
      <c r="B110" s="2" t="s">
        <v>276</v>
      </c>
      <c r="C110" s="2">
        <v>101010</v>
      </c>
      <c r="D110" s="2" t="s">
        <v>439</v>
      </c>
      <c r="E110" s="2" t="s">
        <v>438</v>
      </c>
      <c r="F110" s="2"/>
      <c r="G110" s="2"/>
      <c r="H110" s="2" t="s">
        <v>275</v>
      </c>
      <c r="I110" s="2" t="s">
        <v>687</v>
      </c>
      <c r="J110" t="str">
        <f t="shared" ca="1" si="2"/>
        <v>849tr!@</v>
      </c>
      <c r="K110" t="str">
        <f t="shared" si="3"/>
        <v>Update QuestRH_Pessoas set Senha = '722tr!@' Where Nome = 'Thiago de Moura Rodrigues';</v>
      </c>
      <c r="L110" s="2" t="s">
        <v>687</v>
      </c>
    </row>
    <row r="111" spans="1:12" hidden="1" x14ac:dyDescent="0.25">
      <c r="A111" s="2" t="s">
        <v>281</v>
      </c>
      <c r="B111" s="2" t="s">
        <v>282</v>
      </c>
      <c r="C111" s="2">
        <v>50000996</v>
      </c>
      <c r="D111" s="2" t="s">
        <v>517</v>
      </c>
      <c r="E111" s="2" t="s">
        <v>441</v>
      </c>
      <c r="F111" s="2"/>
      <c r="G111" s="2"/>
      <c r="H111" s="2" t="s">
        <v>283</v>
      </c>
      <c r="I111" s="2" t="s">
        <v>688</v>
      </c>
      <c r="J111" t="str">
        <f t="shared" ca="1" si="2"/>
        <v>112vs!@</v>
      </c>
      <c r="K111" t="str">
        <f t="shared" si="3"/>
        <v>Update QuestRH_Pessoas set Senha = '410vs!@' Where Nome = 'Vinicius Welber da Silva Eugenio';</v>
      </c>
      <c r="L111" s="2" t="s">
        <v>688</v>
      </c>
    </row>
    <row r="112" spans="1:12" hidden="1" x14ac:dyDescent="0.25">
      <c r="A112" s="2" t="s">
        <v>206</v>
      </c>
      <c r="B112" s="2"/>
      <c r="C112" s="2">
        <v>103017</v>
      </c>
      <c r="D112" s="2" t="s">
        <v>500</v>
      </c>
      <c r="E112" s="2" t="s">
        <v>457</v>
      </c>
      <c r="F112" s="2" t="s">
        <v>527</v>
      </c>
      <c r="G112" s="8">
        <v>30218</v>
      </c>
      <c r="H112" s="2" t="s">
        <v>208</v>
      </c>
      <c r="I112" s="2" t="s">
        <v>689</v>
      </c>
      <c r="J112" t="str">
        <f t="shared" ca="1" si="2"/>
        <v>357wc!@</v>
      </c>
      <c r="K112" t="str">
        <f t="shared" si="3"/>
        <v>Update QuestRH_Pessoas set Senha = '168wc!@' Where Nome = 'Wagner Aparecido Pedroso Candido';</v>
      </c>
      <c r="L112" s="2" t="s">
        <v>689</v>
      </c>
    </row>
    <row r="113" spans="1:13" hidden="1" x14ac:dyDescent="0.25">
      <c r="A113" s="2" t="s">
        <v>175</v>
      </c>
      <c r="B113" s="2"/>
      <c r="C113" s="2">
        <v>50000996</v>
      </c>
      <c r="D113" s="2" t="s">
        <v>500</v>
      </c>
      <c r="E113" s="2" t="s">
        <v>441</v>
      </c>
      <c r="F113" s="2" t="s">
        <v>528</v>
      </c>
      <c r="G113" s="8">
        <v>32662</v>
      </c>
      <c r="H113" s="2" t="s">
        <v>176</v>
      </c>
      <c r="I113" s="2" t="s">
        <v>690</v>
      </c>
      <c r="J113" t="str">
        <f t="shared" ca="1" si="2"/>
        <v>975ac!@</v>
      </c>
      <c r="K113" t="str">
        <f t="shared" si="3"/>
        <v>Update QuestRH_Pessoas set Senha = '102ac!@' Where Nome = 'Abel dos Santos Cavalcanti';</v>
      </c>
      <c r="L113" s="2" t="s">
        <v>690</v>
      </c>
    </row>
    <row r="114" spans="1:13" hidden="1" x14ac:dyDescent="0.25">
      <c r="A114" s="2" t="s">
        <v>51</v>
      </c>
      <c r="B114" s="2"/>
      <c r="C114" s="2">
        <v>50000990</v>
      </c>
      <c r="D114" s="2" t="s">
        <v>484</v>
      </c>
      <c r="E114" s="2" t="s">
        <v>441</v>
      </c>
      <c r="F114" s="2" t="s">
        <v>529</v>
      </c>
      <c r="G114" s="8">
        <v>34225</v>
      </c>
      <c r="H114" s="2" t="s">
        <v>131</v>
      </c>
      <c r="I114" s="2" t="s">
        <v>691</v>
      </c>
      <c r="J114" t="str">
        <f t="shared" ca="1" si="2"/>
        <v>047ms!@</v>
      </c>
      <c r="K114" t="str">
        <f t="shared" si="3"/>
        <v>Update QuestRH_Pessoas set Senha = '872ms!@' Where Nome = 'Marcio Lima Salomao';</v>
      </c>
      <c r="L114" s="2" t="s">
        <v>691</v>
      </c>
    </row>
    <row r="115" spans="1:13" hidden="1" x14ac:dyDescent="0.25">
      <c r="A115" s="2" t="s">
        <v>530</v>
      </c>
      <c r="B115" s="2"/>
      <c r="C115" s="2"/>
      <c r="D115" s="2" t="s">
        <v>460</v>
      </c>
      <c r="E115" s="2" t="s">
        <v>438</v>
      </c>
      <c r="F115" s="2"/>
      <c r="G115" s="2"/>
      <c r="H115" s="2" t="s">
        <v>531</v>
      </c>
      <c r="I115" s="2" t="s">
        <v>692</v>
      </c>
      <c r="J115" t="str">
        <f t="shared" ca="1" si="2"/>
        <v>927tt!@</v>
      </c>
      <c r="K115" t="str">
        <f t="shared" si="3"/>
        <v>Update QuestRH_Pessoas set Senha = '925tt!@' Where Nome = 'Teste';</v>
      </c>
      <c r="L115" s="2" t="s">
        <v>692</v>
      </c>
    </row>
    <row r="116" spans="1:13" hidden="1" x14ac:dyDescent="0.25">
      <c r="A116" s="2" t="s">
        <v>532</v>
      </c>
      <c r="B116" s="2" t="s">
        <v>533</v>
      </c>
      <c r="C116" s="2">
        <v>103010</v>
      </c>
      <c r="D116" s="2" t="s">
        <v>534</v>
      </c>
      <c r="E116" s="2" t="s">
        <v>438</v>
      </c>
      <c r="F116" s="2"/>
      <c r="G116" s="2"/>
      <c r="H116" s="2" t="s">
        <v>535</v>
      </c>
      <c r="I116" s="2" t="s">
        <v>693</v>
      </c>
      <c r="J116" t="str">
        <f t="shared" ca="1" si="2"/>
        <v>579ls!@</v>
      </c>
      <c r="K116" t="str">
        <f t="shared" si="3"/>
        <v>Update QuestRH_Pessoas set Senha = '523ls!@' Where Nome = 'Larissa Schons';</v>
      </c>
      <c r="L116" s="2" t="s">
        <v>693</v>
      </c>
    </row>
    <row r="117" spans="1:13" hidden="1" x14ac:dyDescent="0.25">
      <c r="A117" s="2" t="s">
        <v>536</v>
      </c>
      <c r="B117" s="2"/>
      <c r="C117" s="2"/>
      <c r="D117" s="2"/>
      <c r="E117" s="2" t="s">
        <v>438</v>
      </c>
      <c r="F117" s="2"/>
      <c r="G117" s="2"/>
      <c r="H117" s="2" t="s">
        <v>537</v>
      </c>
      <c r="I117" s="2" t="s">
        <v>538</v>
      </c>
      <c r="J117" t="str">
        <f>I117</f>
        <v>RH*123</v>
      </c>
      <c r="K117" t="str">
        <f t="shared" si="3"/>
        <v>Update QuestRH_Pessoas set Senha = 'RH*123' Where Nome = 'Administrador';</v>
      </c>
      <c r="L117" s="2" t="s">
        <v>538</v>
      </c>
    </row>
    <row r="118" spans="1:13" hidden="1" x14ac:dyDescent="0.25">
      <c r="A118" s="2" t="s">
        <v>316</v>
      </c>
      <c r="B118" s="2" t="s">
        <v>354</v>
      </c>
      <c r="C118" s="2">
        <v>101004</v>
      </c>
      <c r="D118" s="2" t="s">
        <v>539</v>
      </c>
      <c r="E118" s="2" t="s">
        <v>438</v>
      </c>
      <c r="F118" s="2"/>
      <c r="G118" s="2" t="s">
        <v>540</v>
      </c>
      <c r="H118" s="2" t="s">
        <v>390</v>
      </c>
      <c r="I118" s="2" t="s">
        <v>694</v>
      </c>
      <c r="J118" t="str">
        <f t="shared" ca="1" si="2"/>
        <v>566aa!@</v>
      </c>
      <c r="K118" t="str">
        <f t="shared" si="3"/>
        <v>Update QuestRH_Pessoas set Senha = '729aa!@' Where Nome = 'Alexandre Armelin';</v>
      </c>
      <c r="L118" s="2" t="s">
        <v>694</v>
      </c>
    </row>
    <row r="119" spans="1:13" hidden="1" x14ac:dyDescent="0.25">
      <c r="A119" s="2" t="s">
        <v>317</v>
      </c>
      <c r="B119" s="2" t="s">
        <v>355</v>
      </c>
      <c r="C119" s="2">
        <v>101003</v>
      </c>
      <c r="D119" s="2" t="s">
        <v>541</v>
      </c>
      <c r="E119" s="2" t="s">
        <v>438</v>
      </c>
      <c r="F119" s="2"/>
      <c r="G119" s="2" t="s">
        <v>540</v>
      </c>
      <c r="H119" s="2" t="s">
        <v>391</v>
      </c>
      <c r="I119" s="2" t="s">
        <v>695</v>
      </c>
      <c r="J119" t="str">
        <f t="shared" ca="1" si="2"/>
        <v>212ap!@</v>
      </c>
      <c r="K119" t="str">
        <f t="shared" si="3"/>
        <v>Update QuestRH_Pessoas set Senha = '634ap!@' Where Nome = 'Amanda Nunes Paixao';</v>
      </c>
      <c r="L119" s="2" t="s">
        <v>695</v>
      </c>
    </row>
    <row r="120" spans="1:13" hidden="1" x14ac:dyDescent="0.25">
      <c r="A120" s="2" t="s">
        <v>318</v>
      </c>
      <c r="B120" s="10" t="s">
        <v>737</v>
      </c>
      <c r="C120" s="2">
        <v>103002</v>
      </c>
      <c r="D120" s="2" t="s">
        <v>542</v>
      </c>
      <c r="E120" s="2" t="s">
        <v>438</v>
      </c>
      <c r="F120" s="2"/>
      <c r="G120" s="2" t="s">
        <v>540</v>
      </c>
      <c r="H120" s="2" t="s">
        <v>392</v>
      </c>
      <c r="I120" s="2" t="s">
        <v>696</v>
      </c>
      <c r="J120" t="str">
        <f t="shared" ca="1" si="2"/>
        <v>587ao!@</v>
      </c>
      <c r="K120" t="str">
        <f t="shared" si="3"/>
        <v>Update QuestRH_Pessoas set Senha = '894ao!@' Where Nome = 'Amanda Silva Costa Oliveira';</v>
      </c>
      <c r="L120" s="2" t="s">
        <v>696</v>
      </c>
      <c r="M120" t="str">
        <f>"Update QuestRH_Pessoas set Email = '" &amp; B120 &amp; "' Where Nome = '" &amp; A120 &amp; "';"</f>
        <v>Update QuestRH_Pessoas set Email = 'amanda.costa@enind.com.br' Where Nome = 'Amanda Silva Costa Oliveira';</v>
      </c>
    </row>
    <row r="121" spans="1:13" hidden="1" x14ac:dyDescent="0.25">
      <c r="A121" s="2" t="s">
        <v>319</v>
      </c>
      <c r="B121" s="2" t="s">
        <v>357</v>
      </c>
      <c r="C121" s="2">
        <v>103009</v>
      </c>
      <c r="D121" s="2" t="s">
        <v>439</v>
      </c>
      <c r="E121" s="2" t="s">
        <v>438</v>
      </c>
      <c r="F121" s="2"/>
      <c r="G121" s="2" t="s">
        <v>540</v>
      </c>
      <c r="H121" s="2" t="s">
        <v>393</v>
      </c>
      <c r="I121" s="2" t="s">
        <v>697</v>
      </c>
      <c r="J121" t="str">
        <f t="shared" ca="1" si="2"/>
        <v>865ae!@</v>
      </c>
      <c r="K121" t="str">
        <f t="shared" si="3"/>
        <v>Update QuestRH_Pessoas set Senha = '179ae!@' Where Nome = 'Andre dos Santos Eusebio';</v>
      </c>
      <c r="L121" s="2" t="s">
        <v>697</v>
      </c>
    </row>
    <row r="122" spans="1:13" hidden="1" x14ac:dyDescent="0.25">
      <c r="A122" s="2" t="s">
        <v>320</v>
      </c>
      <c r="B122" s="10" t="s">
        <v>427</v>
      </c>
      <c r="C122" s="2">
        <v>50000111</v>
      </c>
      <c r="D122" s="2" t="s">
        <v>543</v>
      </c>
      <c r="E122" s="2" t="s">
        <v>438</v>
      </c>
      <c r="F122" s="2"/>
      <c r="G122" s="2" t="s">
        <v>540</v>
      </c>
      <c r="H122" s="2" t="s">
        <v>394</v>
      </c>
      <c r="I122" s="2" t="s">
        <v>698</v>
      </c>
      <c r="J122" t="str">
        <f t="shared" ca="1" si="2"/>
        <v>661an!@</v>
      </c>
      <c r="K122" t="str">
        <f t="shared" si="3"/>
        <v>Update QuestRH_Pessoas set Senha = '813an!@' Where Nome = 'Andre Luiz do Nascimento';</v>
      </c>
      <c r="L122" s="2" t="s">
        <v>698</v>
      </c>
      <c r="M122" t="str">
        <f>"Update QuestRH_Pessoas set Email = '" &amp; B122 &amp; "' Where Nome = '" &amp; A122 &amp; "';"</f>
        <v>Update QuestRH_Pessoas set Email = 'andre.nascimento@enindservicos.com.br' Where Nome = 'Andre Luiz do Nascimento';</v>
      </c>
    </row>
    <row r="123" spans="1:13" hidden="1" x14ac:dyDescent="0.25">
      <c r="A123" s="2" t="s">
        <v>321</v>
      </c>
      <c r="B123" s="2" t="s">
        <v>315</v>
      </c>
      <c r="C123" s="2">
        <v>101006</v>
      </c>
      <c r="D123" s="2" t="s">
        <v>469</v>
      </c>
      <c r="E123" s="2" t="s">
        <v>438</v>
      </c>
      <c r="F123" s="2"/>
      <c r="G123" s="2" t="s">
        <v>540</v>
      </c>
      <c r="H123" s="2" t="s">
        <v>395</v>
      </c>
      <c r="I123" s="2" t="s">
        <v>699</v>
      </c>
      <c r="J123" t="str">
        <f t="shared" ca="1" si="2"/>
        <v>595as!@</v>
      </c>
      <c r="K123" t="str">
        <f t="shared" si="3"/>
        <v>Update QuestRH_Pessoas set Senha = '391as!@' Where Nome = 'Antonio Aloisio Ferreira dos Santos Filho';</v>
      </c>
      <c r="L123" s="2" t="s">
        <v>699</v>
      </c>
    </row>
    <row r="124" spans="1:13" hidden="1" x14ac:dyDescent="0.25">
      <c r="A124" s="2" t="s">
        <v>322</v>
      </c>
      <c r="B124" s="2" t="s">
        <v>359</v>
      </c>
      <c r="C124" s="2">
        <v>50000109</v>
      </c>
      <c r="D124" s="2" t="s">
        <v>542</v>
      </c>
      <c r="E124" s="2" t="s">
        <v>438</v>
      </c>
      <c r="F124" s="2"/>
      <c r="G124" s="2" t="s">
        <v>540</v>
      </c>
      <c r="H124" s="2" t="s">
        <v>396</v>
      </c>
      <c r="I124" s="2" t="s">
        <v>700</v>
      </c>
      <c r="J124" t="str">
        <f t="shared" ca="1" si="2"/>
        <v>521aa!@</v>
      </c>
      <c r="K124" t="str">
        <f t="shared" si="3"/>
        <v>Update QuestRH_Pessoas set Senha = '517aa!@' Where Nome = 'Antonio Luis Ribeiro de Almeida Junior';</v>
      </c>
      <c r="L124" s="2" t="s">
        <v>700</v>
      </c>
    </row>
    <row r="125" spans="1:13" hidden="1" x14ac:dyDescent="0.25">
      <c r="A125" s="2" t="s">
        <v>323</v>
      </c>
      <c r="B125" s="2" t="s">
        <v>360</v>
      </c>
      <c r="C125" s="2">
        <v>103011</v>
      </c>
      <c r="D125" s="2" t="s">
        <v>439</v>
      </c>
      <c r="E125" s="2" t="s">
        <v>438</v>
      </c>
      <c r="F125" s="2"/>
      <c r="G125" s="2" t="s">
        <v>540</v>
      </c>
      <c r="H125" s="2" t="s">
        <v>397</v>
      </c>
      <c r="I125" s="2" t="s">
        <v>701</v>
      </c>
      <c r="J125" t="str">
        <f t="shared" ca="1" si="2"/>
        <v>717aj!@</v>
      </c>
      <c r="K125" t="str">
        <f t="shared" si="3"/>
        <v>Update QuestRH_Pessoas set Senha = '100aj!@' Where Nome = 'Augusto Cesar Nogueira Junqueira';</v>
      </c>
      <c r="L125" s="2" t="s">
        <v>701</v>
      </c>
    </row>
    <row r="126" spans="1:13" hidden="1" x14ac:dyDescent="0.25">
      <c r="A126" s="2" t="s">
        <v>324</v>
      </c>
      <c r="B126" s="2" t="s">
        <v>361</v>
      </c>
      <c r="C126" s="2">
        <v>102002</v>
      </c>
      <c r="D126" s="2" t="s">
        <v>456</v>
      </c>
      <c r="E126" s="2" t="s">
        <v>438</v>
      </c>
      <c r="F126" s="2"/>
      <c r="G126" s="2" t="s">
        <v>540</v>
      </c>
      <c r="H126" s="2" t="s">
        <v>398</v>
      </c>
      <c r="I126" s="2" t="s">
        <v>702</v>
      </c>
      <c r="J126" t="str">
        <f t="shared" ca="1" si="2"/>
        <v>346bs!@</v>
      </c>
      <c r="K126" t="str">
        <f t="shared" si="3"/>
        <v>Update QuestRH_Pessoas set Senha = '338bs!@' Where Nome = 'Brendhel Almeida Silva';</v>
      </c>
      <c r="L126" s="2" t="s">
        <v>702</v>
      </c>
    </row>
    <row r="127" spans="1:13" hidden="1" x14ac:dyDescent="0.25">
      <c r="A127" s="2" t="s">
        <v>325</v>
      </c>
      <c r="B127" s="2" t="s">
        <v>362</v>
      </c>
      <c r="C127" s="2">
        <v>103010</v>
      </c>
      <c r="D127" s="2" t="s">
        <v>439</v>
      </c>
      <c r="E127" s="2" t="s">
        <v>438</v>
      </c>
      <c r="F127" s="2"/>
      <c r="G127" s="2" t="s">
        <v>540</v>
      </c>
      <c r="H127" s="2" t="s">
        <v>399</v>
      </c>
      <c r="I127" s="2" t="s">
        <v>703</v>
      </c>
      <c r="J127" t="str">
        <f t="shared" ca="1" si="2"/>
        <v>318bl!@</v>
      </c>
      <c r="K127" t="str">
        <f t="shared" si="3"/>
        <v>Update QuestRH_Pessoas set Senha = '182bl!@' Where Nome = 'Bruno Pulino Lustosa';</v>
      </c>
      <c r="L127" s="2" t="s">
        <v>703</v>
      </c>
    </row>
    <row r="128" spans="1:13" hidden="1" x14ac:dyDescent="0.25">
      <c r="A128" s="2" t="s">
        <v>326</v>
      </c>
      <c r="B128" s="2" t="s">
        <v>363</v>
      </c>
      <c r="C128" s="2">
        <v>103002</v>
      </c>
      <c r="D128" s="2" t="s">
        <v>544</v>
      </c>
      <c r="E128" s="2" t="s">
        <v>438</v>
      </c>
      <c r="F128" s="2"/>
      <c r="G128" s="2" t="s">
        <v>540</v>
      </c>
      <c r="H128" s="2" t="s">
        <v>400</v>
      </c>
      <c r="I128" s="2" t="s">
        <v>704</v>
      </c>
      <c r="J128" t="str">
        <f t="shared" ca="1" si="2"/>
        <v>939cm!@</v>
      </c>
      <c r="K128" t="str">
        <f t="shared" si="3"/>
        <v>Update QuestRH_Pessoas set Senha = '001cm!@' Where Nome = 'Cleiton Inacio Mathias';</v>
      </c>
      <c r="L128" s="2" t="s">
        <v>704</v>
      </c>
    </row>
    <row r="129" spans="1:13" hidden="1" x14ac:dyDescent="0.25">
      <c r="A129" s="2" t="s">
        <v>327</v>
      </c>
      <c r="B129" s="2" t="s">
        <v>364</v>
      </c>
      <c r="C129" s="2">
        <v>103010</v>
      </c>
      <c r="D129" s="2" t="s">
        <v>439</v>
      </c>
      <c r="E129" s="2" t="s">
        <v>438</v>
      </c>
      <c r="F129" s="2"/>
      <c r="G129" s="2" t="s">
        <v>540</v>
      </c>
      <c r="H129" s="2" t="s">
        <v>401</v>
      </c>
      <c r="I129" s="2" t="s">
        <v>705</v>
      </c>
      <c r="J129" t="str">
        <f t="shared" ca="1" si="2"/>
        <v>182dc!@</v>
      </c>
      <c r="K129" t="str">
        <f t="shared" si="3"/>
        <v>Update QuestRH_Pessoas set Senha = '379dc!@' Where Nome = 'Daniel Casari Carlos';</v>
      </c>
      <c r="L129" s="2" t="s">
        <v>705</v>
      </c>
    </row>
    <row r="130" spans="1:13" hidden="1" x14ac:dyDescent="0.25">
      <c r="A130" s="2" t="s">
        <v>328</v>
      </c>
      <c r="B130" s="2" t="s">
        <v>365</v>
      </c>
      <c r="C130" s="2">
        <v>101004</v>
      </c>
      <c r="D130" s="2" t="s">
        <v>470</v>
      </c>
      <c r="E130" s="2" t="s">
        <v>438</v>
      </c>
      <c r="F130" s="2"/>
      <c r="G130" s="2" t="s">
        <v>540</v>
      </c>
      <c r="H130" s="2" t="s">
        <v>402</v>
      </c>
      <c r="I130" s="2" t="s">
        <v>706</v>
      </c>
      <c r="J130" t="str">
        <f t="shared" ca="1" si="2"/>
        <v>870jm!@</v>
      </c>
      <c r="K130" t="str">
        <f t="shared" si="3"/>
        <v>Update QuestRH_Pessoas set Senha = '602jm!@' Where Nome = 'Jorge Antonio Ferreira da Mota';</v>
      </c>
      <c r="L130" s="2" t="s">
        <v>706</v>
      </c>
    </row>
    <row r="131" spans="1:13" hidden="1" x14ac:dyDescent="0.25">
      <c r="A131" s="2" t="s">
        <v>329</v>
      </c>
      <c r="B131" s="10" t="s">
        <v>428</v>
      </c>
      <c r="C131" s="2">
        <v>50000111</v>
      </c>
      <c r="D131" s="2" t="s">
        <v>543</v>
      </c>
      <c r="E131" s="2" t="s">
        <v>438</v>
      </c>
      <c r="F131" s="2"/>
      <c r="G131" s="2" t="s">
        <v>540</v>
      </c>
      <c r="H131" s="2" t="s">
        <v>403</v>
      </c>
      <c r="I131" s="2" t="s">
        <v>707</v>
      </c>
      <c r="J131" t="str">
        <f t="shared" ref="J131:J155" ca="1" si="4">TEXT(RANDBETWEEN(1,999),"000") &amp; LEFT(H131,1) &amp; MID(H131,FIND(".",H131,1)+1,1) &amp; "!@"</f>
        <v>385ef!@</v>
      </c>
      <c r="K131" t="str">
        <f t="shared" ref="K131:K155" si="5">"Update QuestRH_Pessoas set Senha = '" &amp; I131 &amp; "' Where Nome = '" &amp; A131 &amp; "';"</f>
        <v>Update QuestRH_Pessoas set Senha = '130ef!@' Where Nome = 'Eder da Silva Fernandes';</v>
      </c>
      <c r="L131" s="2" t="s">
        <v>707</v>
      </c>
      <c r="M131" t="str">
        <f t="shared" ref="M131:M132" si="6">"Update QuestRH_Pessoas set Email = '" &amp; B131 &amp; "' Where Nome = '" &amp; A131 &amp; "';"</f>
        <v>Update QuestRH_Pessoas set Email = 'eder.fernandes@enindservicos.com.br' Where Nome = 'Eder da Silva Fernandes';</v>
      </c>
    </row>
    <row r="132" spans="1:13" hidden="1" x14ac:dyDescent="0.25">
      <c r="A132" s="2" t="s">
        <v>330</v>
      </c>
      <c r="B132" s="10" t="s">
        <v>429</v>
      </c>
      <c r="C132" s="2">
        <v>50000111</v>
      </c>
      <c r="D132" s="2" t="s">
        <v>545</v>
      </c>
      <c r="E132" s="2" t="s">
        <v>438</v>
      </c>
      <c r="F132" s="2"/>
      <c r="G132" s="2" t="s">
        <v>540</v>
      </c>
      <c r="H132" s="2" t="s">
        <v>404</v>
      </c>
      <c r="I132" s="2" t="s">
        <v>708</v>
      </c>
      <c r="J132" t="str">
        <f t="shared" ca="1" si="4"/>
        <v>001el!@</v>
      </c>
      <c r="K132" t="str">
        <f t="shared" si="5"/>
        <v>Update QuestRH_Pessoas set Senha = '714el!@' Where Nome = 'Emerson Marcelo Alves da Cunha de Leo';</v>
      </c>
      <c r="L132" s="2" t="s">
        <v>708</v>
      </c>
      <c r="M132" t="str">
        <f t="shared" si="6"/>
        <v>Update QuestRH_Pessoas set Email = 'emerson.leo@enindservicos.com.br' Where Nome = 'Emerson Marcelo Alves da Cunha de Leo';</v>
      </c>
    </row>
    <row r="133" spans="1:13" hidden="1" x14ac:dyDescent="0.25">
      <c r="A133" s="2" t="s">
        <v>331</v>
      </c>
      <c r="B133" s="2" t="s">
        <v>368</v>
      </c>
      <c r="C133" s="2">
        <v>101004</v>
      </c>
      <c r="D133" s="2" t="s">
        <v>539</v>
      </c>
      <c r="E133" s="2" t="s">
        <v>438</v>
      </c>
      <c r="F133" s="2"/>
      <c r="G133" s="2" t="s">
        <v>540</v>
      </c>
      <c r="H133" s="2" t="s">
        <v>405</v>
      </c>
      <c r="I133" s="2" t="s">
        <v>709</v>
      </c>
      <c r="J133" t="str">
        <f t="shared" ca="1" si="4"/>
        <v>513ia!@</v>
      </c>
      <c r="K133" t="str">
        <f t="shared" si="5"/>
        <v>Update QuestRH_Pessoas set Senha = '554ia!@' Where Nome = 'Igor do Carmo Aranda';</v>
      </c>
      <c r="L133" s="2" t="s">
        <v>709</v>
      </c>
    </row>
    <row r="134" spans="1:13" hidden="1" x14ac:dyDescent="0.25">
      <c r="A134" s="2" t="s">
        <v>332</v>
      </c>
      <c r="B134" s="2" t="s">
        <v>369</v>
      </c>
      <c r="C134" s="2">
        <v>103003</v>
      </c>
      <c r="D134" s="2" t="s">
        <v>546</v>
      </c>
      <c r="E134" s="2" t="s">
        <v>438</v>
      </c>
      <c r="F134" s="2"/>
      <c r="G134" s="2" t="s">
        <v>540</v>
      </c>
      <c r="H134" s="2" t="s">
        <v>406</v>
      </c>
      <c r="I134" s="2" t="s">
        <v>710</v>
      </c>
      <c r="J134" t="str">
        <f t="shared" ca="1" si="4"/>
        <v>652ia!@</v>
      </c>
      <c r="K134" t="str">
        <f t="shared" si="5"/>
        <v>Update QuestRH_Pessoas set Senha = '057ia!@' Where Nome = 'Ieza Amaral';</v>
      </c>
      <c r="L134" s="2" t="s">
        <v>710</v>
      </c>
    </row>
    <row r="135" spans="1:13" hidden="1" x14ac:dyDescent="0.25">
      <c r="A135" s="2" t="s">
        <v>333</v>
      </c>
      <c r="B135" s="2" t="s">
        <v>370</v>
      </c>
      <c r="C135" s="2">
        <v>101004</v>
      </c>
      <c r="D135" s="2" t="s">
        <v>547</v>
      </c>
      <c r="E135" s="2" t="s">
        <v>438</v>
      </c>
      <c r="F135" s="2"/>
      <c r="G135" s="2" t="s">
        <v>540</v>
      </c>
      <c r="H135" s="2" t="s">
        <v>407</v>
      </c>
      <c r="I135" s="2" t="s">
        <v>711</v>
      </c>
      <c r="J135" t="str">
        <f t="shared" ca="1" si="4"/>
        <v>998jr!@</v>
      </c>
      <c r="K135" t="str">
        <f t="shared" si="5"/>
        <v>Update QuestRH_Pessoas set Senha = '680jr!@' Where Nome = 'Joao Pedro Faleco Rodrigues';</v>
      </c>
      <c r="L135" s="2" t="s">
        <v>711</v>
      </c>
    </row>
    <row r="136" spans="1:13" hidden="1" x14ac:dyDescent="0.25">
      <c r="A136" s="2" t="s">
        <v>334</v>
      </c>
      <c r="B136" s="2" t="s">
        <v>371</v>
      </c>
      <c r="C136" s="2">
        <v>101004</v>
      </c>
      <c r="D136" s="2" t="s">
        <v>548</v>
      </c>
      <c r="E136" s="2" t="s">
        <v>438</v>
      </c>
      <c r="F136" s="2"/>
      <c r="G136" s="2" t="s">
        <v>540</v>
      </c>
      <c r="H136" s="2" t="s">
        <v>408</v>
      </c>
      <c r="I136" s="2" t="s">
        <v>712</v>
      </c>
      <c r="J136" t="str">
        <f t="shared" ca="1" si="4"/>
        <v>738lr!@</v>
      </c>
      <c r="K136" t="str">
        <f t="shared" si="5"/>
        <v>Update QuestRH_Pessoas set Senha = '894lr!@' Where Nome = 'Luciene Caetano da Rocha';</v>
      </c>
      <c r="L136" s="2" t="s">
        <v>712</v>
      </c>
    </row>
    <row r="137" spans="1:13" x14ac:dyDescent="0.25">
      <c r="A137" s="2" t="s">
        <v>335</v>
      </c>
      <c r="B137" s="3" t="s">
        <v>434</v>
      </c>
      <c r="C137" s="2">
        <v>50000111</v>
      </c>
      <c r="D137" s="2" t="s">
        <v>543</v>
      </c>
      <c r="E137" s="2" t="s">
        <v>438</v>
      </c>
      <c r="F137" s="2"/>
      <c r="G137" s="2" t="s">
        <v>540</v>
      </c>
      <c r="H137" s="2" t="s">
        <v>409</v>
      </c>
      <c r="I137" s="2" t="s">
        <v>713</v>
      </c>
      <c r="J137" t="str">
        <f t="shared" ca="1" si="4"/>
        <v>250jf!@</v>
      </c>
      <c r="K137" t="str">
        <f t="shared" si="5"/>
        <v>Update QuestRH_Pessoas set Senha = '058jf!@' Where Nome = 'Jose Martins Filho';</v>
      </c>
      <c r="L137" s="2" t="s">
        <v>713</v>
      </c>
    </row>
    <row r="138" spans="1:13" hidden="1" x14ac:dyDescent="0.25">
      <c r="A138" s="2" t="s">
        <v>336</v>
      </c>
      <c r="B138" s="2" t="s">
        <v>373</v>
      </c>
      <c r="C138" s="2">
        <v>50000109</v>
      </c>
      <c r="D138" s="2" t="s">
        <v>549</v>
      </c>
      <c r="E138" s="2" t="s">
        <v>438</v>
      </c>
      <c r="F138" s="2"/>
      <c r="G138" s="2" t="s">
        <v>540</v>
      </c>
      <c r="H138" s="2" t="s">
        <v>410</v>
      </c>
      <c r="I138" s="2" t="s">
        <v>714</v>
      </c>
      <c r="J138" t="str">
        <f t="shared" ca="1" si="4"/>
        <v>733lc!@</v>
      </c>
      <c r="K138" t="str">
        <f t="shared" si="5"/>
        <v>Update QuestRH_Pessoas set Senha = '723lc!@' Where Nome = 'Leandro Cabrini';</v>
      </c>
      <c r="L138" s="2" t="s">
        <v>714</v>
      </c>
    </row>
    <row r="139" spans="1:13" hidden="1" x14ac:dyDescent="0.25">
      <c r="A139" s="2" t="s">
        <v>337</v>
      </c>
      <c r="B139" s="2" t="s">
        <v>374</v>
      </c>
      <c r="C139" s="2">
        <v>50000109</v>
      </c>
      <c r="D139" s="2" t="s">
        <v>439</v>
      </c>
      <c r="E139" s="2" t="s">
        <v>438</v>
      </c>
      <c r="F139" s="2"/>
      <c r="G139" s="2" t="s">
        <v>540</v>
      </c>
      <c r="H139" s="2" t="s">
        <v>411</v>
      </c>
      <c r="I139" s="2" t="s">
        <v>715</v>
      </c>
      <c r="J139" t="str">
        <f t="shared" ca="1" si="4"/>
        <v>997lc!@</v>
      </c>
      <c r="K139" t="str">
        <f t="shared" si="5"/>
        <v>Update QuestRH_Pessoas set Senha = '889lc!@' Where Nome = 'Luan Henrique Alves de Carvalho';</v>
      </c>
      <c r="L139" s="2" t="s">
        <v>715</v>
      </c>
    </row>
    <row r="140" spans="1:13" hidden="1" x14ac:dyDescent="0.25">
      <c r="A140" s="2" t="s">
        <v>338</v>
      </c>
      <c r="B140" s="2" t="s">
        <v>375</v>
      </c>
      <c r="C140" s="2">
        <v>103003</v>
      </c>
      <c r="D140" s="2" t="s">
        <v>550</v>
      </c>
      <c r="E140" s="2" t="s">
        <v>438</v>
      </c>
      <c r="F140" s="2"/>
      <c r="G140" s="2" t="s">
        <v>540</v>
      </c>
      <c r="H140" s="2" t="s">
        <v>412</v>
      </c>
      <c r="I140" s="2" t="s">
        <v>716</v>
      </c>
      <c r="J140" t="str">
        <f t="shared" ca="1" si="4"/>
        <v>759ms!@</v>
      </c>
      <c r="K140" t="str">
        <f t="shared" si="5"/>
        <v>Update QuestRH_Pessoas set Senha = '020ms!@' Where Nome = 'Marcelo da Silva Santos';</v>
      </c>
      <c r="L140" s="2" t="s">
        <v>716</v>
      </c>
    </row>
    <row r="141" spans="1:13" hidden="1" x14ac:dyDescent="0.25">
      <c r="A141" s="2" t="s">
        <v>339</v>
      </c>
      <c r="B141" s="2" t="s">
        <v>376</v>
      </c>
      <c r="C141" s="2">
        <v>102002</v>
      </c>
      <c r="D141" s="2" t="s">
        <v>551</v>
      </c>
      <c r="E141" s="2" t="s">
        <v>438</v>
      </c>
      <c r="F141" s="2"/>
      <c r="G141" s="2" t="s">
        <v>540</v>
      </c>
      <c r="H141" s="2" t="s">
        <v>413</v>
      </c>
      <c r="I141" s="2" t="s">
        <v>717</v>
      </c>
      <c r="J141" t="str">
        <f t="shared" ca="1" si="4"/>
        <v>642ip!@</v>
      </c>
      <c r="K141" t="str">
        <f t="shared" si="5"/>
        <v>Update QuestRH_Pessoas set Senha = '448ip!@' Where Nome = 'Isabela Pinheiro da Silva';</v>
      </c>
      <c r="L141" s="2" t="s">
        <v>717</v>
      </c>
    </row>
    <row r="142" spans="1:13" hidden="1" x14ac:dyDescent="0.25">
      <c r="A142" s="2" t="s">
        <v>340</v>
      </c>
      <c r="B142" s="2" t="s">
        <v>377</v>
      </c>
      <c r="C142" s="2">
        <v>103011</v>
      </c>
      <c r="D142" s="2" t="s">
        <v>539</v>
      </c>
      <c r="E142" s="2" t="s">
        <v>438</v>
      </c>
      <c r="F142" s="2"/>
      <c r="G142" s="2" t="s">
        <v>540</v>
      </c>
      <c r="H142" s="2" t="s">
        <v>414</v>
      </c>
      <c r="I142" s="2" t="s">
        <v>718</v>
      </c>
      <c r="J142" t="str">
        <f t="shared" ca="1" si="4"/>
        <v>066mj!@</v>
      </c>
      <c r="K142" t="str">
        <f t="shared" si="5"/>
        <v>Update QuestRH_Pessoas set Senha = '403mj!@' Where Nome = 'Marcos Alberto Ferreira Junior';</v>
      </c>
      <c r="L142" s="2" t="s">
        <v>718</v>
      </c>
    </row>
    <row r="143" spans="1:13" hidden="1" x14ac:dyDescent="0.25">
      <c r="A143" s="2" t="s">
        <v>341</v>
      </c>
      <c r="B143" s="10" t="s">
        <v>435</v>
      </c>
      <c r="C143" s="2">
        <v>50000111</v>
      </c>
      <c r="D143" s="2" t="s">
        <v>543</v>
      </c>
      <c r="E143" s="2" t="s">
        <v>438</v>
      </c>
      <c r="F143" s="2"/>
      <c r="G143" s="2" t="s">
        <v>540</v>
      </c>
      <c r="H143" s="2" t="s">
        <v>415</v>
      </c>
      <c r="I143" s="2" t="s">
        <v>719</v>
      </c>
      <c r="J143" t="str">
        <f t="shared" ca="1" si="4"/>
        <v>573mq!@</v>
      </c>
      <c r="K143" t="str">
        <f t="shared" si="5"/>
        <v>Update QuestRH_Pessoas set Senha = '684mq!@' Where Nome = 'Marcos Souza Queiroz';</v>
      </c>
      <c r="L143" s="2" t="s">
        <v>719</v>
      </c>
      <c r="M143" t="str">
        <f>"Update QuestRH_Pessoas set Email = '" &amp; B143 &amp; "' Where Nome = '" &amp; A143 &amp; "';"</f>
        <v>Update QuestRH_Pessoas set Email = 'marcos.queiroz@enindservicos.com.br' Where Nome = 'Marcos Souza Queiroz';</v>
      </c>
    </row>
    <row r="144" spans="1:13" hidden="1" x14ac:dyDescent="0.25">
      <c r="A144" s="2" t="s">
        <v>342</v>
      </c>
      <c r="B144" s="2" t="s">
        <v>379</v>
      </c>
      <c r="C144" s="2">
        <v>103010</v>
      </c>
      <c r="D144" s="2" t="s">
        <v>552</v>
      </c>
      <c r="E144" s="2" t="s">
        <v>438</v>
      </c>
      <c r="F144" s="2"/>
      <c r="G144" s="2" t="s">
        <v>540</v>
      </c>
      <c r="H144" s="2" t="s">
        <v>416</v>
      </c>
      <c r="I144" s="2" t="s">
        <v>720</v>
      </c>
      <c r="J144" t="str">
        <f t="shared" ca="1" si="4"/>
        <v>547mm!@</v>
      </c>
      <c r="K144" t="str">
        <f t="shared" si="5"/>
        <v>Update QuestRH_Pessoas set Senha = '808mm!@' Where Nome = 'Mariana Gouvea da Silva Moreira';</v>
      </c>
      <c r="L144" s="2" t="s">
        <v>720</v>
      </c>
    </row>
    <row r="145" spans="1:13" hidden="1" x14ac:dyDescent="0.25">
      <c r="A145" s="2" t="s">
        <v>343</v>
      </c>
      <c r="B145" s="2" t="s">
        <v>380</v>
      </c>
      <c r="C145" s="2">
        <v>103009</v>
      </c>
      <c r="D145" s="2" t="s">
        <v>553</v>
      </c>
      <c r="E145" s="2" t="s">
        <v>438</v>
      </c>
      <c r="F145" s="2"/>
      <c r="G145" s="2" t="s">
        <v>540</v>
      </c>
      <c r="H145" s="2" t="s">
        <v>417</v>
      </c>
      <c r="I145" s="2" t="s">
        <v>721</v>
      </c>
      <c r="J145" t="str">
        <f t="shared" ca="1" si="4"/>
        <v>953ms!@</v>
      </c>
      <c r="K145" t="str">
        <f t="shared" si="5"/>
        <v>Update QuestRH_Pessoas set Senha = '526ms!@' Where Nome = 'Matheus Ruan de Jesus Silva';</v>
      </c>
      <c r="L145" s="2" t="s">
        <v>721</v>
      </c>
    </row>
    <row r="146" spans="1:13" hidden="1" x14ac:dyDescent="0.25">
      <c r="A146" s="2" t="s">
        <v>344</v>
      </c>
      <c r="B146" s="10" t="s">
        <v>736</v>
      </c>
      <c r="C146" s="2">
        <v>103009</v>
      </c>
      <c r="D146" s="2" t="s">
        <v>439</v>
      </c>
      <c r="E146" s="2" t="s">
        <v>438</v>
      </c>
      <c r="F146" s="2"/>
      <c r="G146" s="2" t="s">
        <v>540</v>
      </c>
      <c r="H146" s="2" t="s">
        <v>418</v>
      </c>
      <c r="I146" s="2" t="s">
        <v>722</v>
      </c>
      <c r="J146" t="str">
        <f t="shared" ca="1" si="4"/>
        <v>358ma!@</v>
      </c>
      <c r="K146" t="str">
        <f t="shared" si="5"/>
        <v>Update QuestRH_Pessoas set Senha = '825ma!@' Where Nome = 'Milena Alkmin';</v>
      </c>
      <c r="L146" s="2" t="s">
        <v>722</v>
      </c>
      <c r="M146" t="str">
        <f>"Update QuestRH_Pessoas set Email = '" &amp; B146 &amp; "' Where Nome = '" &amp; A146 &amp; "';"</f>
        <v>Update QuestRH_Pessoas set Email = 'milena.souza@enind.com.br' Where Nome = 'Milena Alkmin';</v>
      </c>
    </row>
    <row r="147" spans="1:13" hidden="1" x14ac:dyDescent="0.25">
      <c r="A147" s="2" t="s">
        <v>345</v>
      </c>
      <c r="B147" s="2" t="s">
        <v>382</v>
      </c>
      <c r="C147" s="2">
        <v>103002</v>
      </c>
      <c r="D147" s="2" t="s">
        <v>554</v>
      </c>
      <c r="E147" s="2" t="s">
        <v>438</v>
      </c>
      <c r="F147" s="2"/>
      <c r="G147" s="2" t="s">
        <v>540</v>
      </c>
      <c r="H147" s="2" t="s">
        <v>419</v>
      </c>
      <c r="I147" s="2" t="s">
        <v>723</v>
      </c>
      <c r="J147" t="str">
        <f t="shared" ca="1" si="4"/>
        <v>242ns!@</v>
      </c>
      <c r="K147" t="str">
        <f t="shared" si="5"/>
        <v>Update QuestRH_Pessoas set Senha = '592ns!@' Where Nome = 'Natalia Gomes Dos Santos';</v>
      </c>
      <c r="L147" s="2" t="s">
        <v>723</v>
      </c>
    </row>
    <row r="148" spans="1:13" hidden="1" x14ac:dyDescent="0.25">
      <c r="A148" s="2" t="s">
        <v>346</v>
      </c>
      <c r="B148" s="2" t="s">
        <v>383</v>
      </c>
      <c r="C148" s="2">
        <v>103011</v>
      </c>
      <c r="D148" s="2" t="s">
        <v>555</v>
      </c>
      <c r="E148" s="2" t="s">
        <v>438</v>
      </c>
      <c r="F148" s="2"/>
      <c r="G148" s="2" t="s">
        <v>540</v>
      </c>
      <c r="H148" s="2" t="s">
        <v>420</v>
      </c>
      <c r="I148" s="2" t="s">
        <v>724</v>
      </c>
      <c r="J148" t="str">
        <f t="shared" ca="1" si="4"/>
        <v>543nr!@</v>
      </c>
      <c r="K148" t="str">
        <f t="shared" si="5"/>
        <v>Update QuestRH_Pessoas set Senha = '467nr!@' Where Nome = 'Nicholas Rezende';</v>
      </c>
      <c r="L148" s="2" t="s">
        <v>724</v>
      </c>
    </row>
    <row r="149" spans="1:13" hidden="1" x14ac:dyDescent="0.25">
      <c r="A149" s="2" t="s">
        <v>347</v>
      </c>
      <c r="B149" s="2" t="s">
        <v>384</v>
      </c>
      <c r="C149" s="2">
        <v>103002</v>
      </c>
      <c r="D149" s="2" t="s">
        <v>542</v>
      </c>
      <c r="E149" s="2" t="s">
        <v>438</v>
      </c>
      <c r="F149" s="2"/>
      <c r="G149" s="2" t="s">
        <v>540</v>
      </c>
      <c r="H149" s="2" t="s">
        <v>421</v>
      </c>
      <c r="I149" s="2" t="s">
        <v>725</v>
      </c>
      <c r="J149" t="str">
        <f t="shared" ca="1" si="4"/>
        <v>115rp!@</v>
      </c>
      <c r="K149" t="str">
        <f t="shared" si="5"/>
        <v>Update QuestRH_Pessoas set Senha = '166rp!@' Where Nome = 'Rebeca Oliveira Porto';</v>
      </c>
      <c r="L149" s="2" t="s">
        <v>725</v>
      </c>
    </row>
    <row r="150" spans="1:13" hidden="1" x14ac:dyDescent="0.25">
      <c r="A150" s="2" t="s">
        <v>348</v>
      </c>
      <c r="B150" s="2" t="s">
        <v>385</v>
      </c>
      <c r="C150" s="2">
        <v>101004</v>
      </c>
      <c r="D150" s="2" t="s">
        <v>548</v>
      </c>
      <c r="E150" s="2" t="s">
        <v>438</v>
      </c>
      <c r="F150" s="2"/>
      <c r="G150" s="2" t="s">
        <v>540</v>
      </c>
      <c r="H150" s="2" t="s">
        <v>422</v>
      </c>
      <c r="I150" s="2" t="s">
        <v>726</v>
      </c>
      <c r="J150" t="str">
        <f t="shared" ca="1" si="4"/>
        <v>950ms!@</v>
      </c>
      <c r="K150" t="str">
        <f t="shared" si="5"/>
        <v>Update QuestRH_Pessoas set Senha = '342ms!@' Where Nome = 'Marcia Cristina Silva Santana';</v>
      </c>
      <c r="L150" s="2" t="s">
        <v>726</v>
      </c>
    </row>
    <row r="151" spans="1:13" hidden="1" x14ac:dyDescent="0.25">
      <c r="A151" s="2" t="s">
        <v>349</v>
      </c>
      <c r="B151" s="2" t="s">
        <v>386</v>
      </c>
      <c r="C151" s="2">
        <v>103009</v>
      </c>
      <c r="D151" s="2" t="s">
        <v>556</v>
      </c>
      <c r="E151" s="2" t="s">
        <v>438</v>
      </c>
      <c r="F151" s="2"/>
      <c r="G151" s="2" t="s">
        <v>540</v>
      </c>
      <c r="H151" s="2" t="s">
        <v>423</v>
      </c>
      <c r="I151" s="2" t="s">
        <v>727</v>
      </c>
      <c r="J151" t="str">
        <f t="shared" ca="1" si="4"/>
        <v>131rr!@</v>
      </c>
      <c r="K151" t="str">
        <f t="shared" si="5"/>
        <v>Update QuestRH_Pessoas set Senha = '718rr!@' Where Nome = 'Ruan Filipe Amaral Ramos';</v>
      </c>
      <c r="L151" s="2" t="s">
        <v>727</v>
      </c>
    </row>
    <row r="152" spans="1:13" hidden="1" x14ac:dyDescent="0.25">
      <c r="A152" s="2" t="s">
        <v>350</v>
      </c>
      <c r="B152" s="2" t="s">
        <v>387</v>
      </c>
      <c r="C152" s="2">
        <v>103010</v>
      </c>
      <c r="D152" s="2" t="s">
        <v>557</v>
      </c>
      <c r="E152" s="2" t="s">
        <v>438</v>
      </c>
      <c r="F152" s="2"/>
      <c r="G152" s="2" t="s">
        <v>540</v>
      </c>
      <c r="H152" s="2" t="s">
        <v>424</v>
      </c>
      <c r="I152" s="2" t="s">
        <v>728</v>
      </c>
      <c r="J152" t="str">
        <f t="shared" ca="1" si="4"/>
        <v>790sp!@</v>
      </c>
      <c r="K152" t="str">
        <f t="shared" si="5"/>
        <v>Update QuestRH_Pessoas set Senha = '334sp!@' Where Nome = 'Sergio Reis Porto';</v>
      </c>
      <c r="L152" s="2" t="s">
        <v>728</v>
      </c>
    </row>
    <row r="153" spans="1:13" hidden="1" x14ac:dyDescent="0.25">
      <c r="A153" s="2" t="s">
        <v>351</v>
      </c>
      <c r="B153" s="2" t="s">
        <v>388</v>
      </c>
      <c r="C153" s="2">
        <v>101001</v>
      </c>
      <c r="D153" s="2" t="s">
        <v>450</v>
      </c>
      <c r="E153" s="2" t="s">
        <v>438</v>
      </c>
      <c r="F153" s="2"/>
      <c r="G153" s="2" t="s">
        <v>540</v>
      </c>
      <c r="H153" s="2" t="s">
        <v>425</v>
      </c>
      <c r="I153" s="2" t="s">
        <v>729</v>
      </c>
      <c r="J153" t="str">
        <f t="shared" ca="1" si="4"/>
        <v>964to!@</v>
      </c>
      <c r="K153" t="str">
        <f t="shared" si="5"/>
        <v>Update QuestRH_Pessoas set Senha = '681to!@' Where Nome = 'Thais Sousa de Oliveira';</v>
      </c>
      <c r="L153" s="2" t="s">
        <v>729</v>
      </c>
    </row>
    <row r="154" spans="1:13" hidden="1" x14ac:dyDescent="0.25">
      <c r="A154" s="2" t="s">
        <v>352</v>
      </c>
      <c r="B154" s="2" t="s">
        <v>282</v>
      </c>
      <c r="C154" s="2">
        <v>103015</v>
      </c>
      <c r="D154" s="2" t="s">
        <v>558</v>
      </c>
      <c r="E154" s="2" t="s">
        <v>438</v>
      </c>
      <c r="F154" s="2"/>
      <c r="G154" s="2" t="s">
        <v>540</v>
      </c>
      <c r="H154" s="2" t="s">
        <v>283</v>
      </c>
      <c r="I154" s="2" t="s">
        <v>730</v>
      </c>
      <c r="J154" t="str">
        <f t="shared" ca="1" si="4"/>
        <v>121vs!@</v>
      </c>
      <c r="K154" t="str">
        <f t="shared" si="5"/>
        <v>Update QuestRH_Pessoas set Senha = '512vs!@' Where Nome = 'Vinicius Araujo da Silva';</v>
      </c>
      <c r="L154" s="2" t="s">
        <v>730</v>
      </c>
    </row>
    <row r="155" spans="1:13" hidden="1" x14ac:dyDescent="0.25">
      <c r="A155" s="2" t="s">
        <v>353</v>
      </c>
      <c r="B155" s="2" t="s">
        <v>389</v>
      </c>
      <c r="C155" s="2">
        <v>103010</v>
      </c>
      <c r="D155" s="2" t="s">
        <v>460</v>
      </c>
      <c r="E155" s="2" t="s">
        <v>438</v>
      </c>
      <c r="F155" s="2"/>
      <c r="G155" s="2" t="s">
        <v>540</v>
      </c>
      <c r="H155" s="2" t="s">
        <v>426</v>
      </c>
      <c r="I155" s="2" t="s">
        <v>731</v>
      </c>
      <c r="J155" t="str">
        <f t="shared" ca="1" si="4"/>
        <v>546wb!@</v>
      </c>
      <c r="K155" t="str">
        <f t="shared" si="5"/>
        <v>Update QuestRH_Pessoas set Senha = '028wb!@' Where Nome = 'Wagner Araujo Sequeira Barreiro';</v>
      </c>
      <c r="L155" s="2" t="s">
        <v>731</v>
      </c>
    </row>
  </sheetData>
  <autoFilter ref="A1:L155" xr:uid="{C8A1FF41-FE38-442B-8F1A-E5C01AF500AB}">
    <filterColumn colId="0">
      <filters>
        <filter val="Jose Martins Filho"/>
      </filters>
    </filterColumn>
  </autoFilter>
  <hyperlinks>
    <hyperlink ref="B146" r:id="rId1" xr:uid="{CB604002-A099-420F-95F9-C5B760AE6CCF}"/>
    <hyperlink ref="B143" r:id="rId2" xr:uid="{57E8AD4A-C13E-4193-A104-E595FABE7BAB}"/>
    <hyperlink ref="B132" r:id="rId3" xr:uid="{5C26E228-6ACE-4BA5-A80F-26C209174C78}"/>
    <hyperlink ref="B131" r:id="rId4" xr:uid="{7305BF19-2387-4BCE-9E6F-08C253156F83}"/>
    <hyperlink ref="B122" r:id="rId5" xr:uid="{0FC1207D-779B-4667-8897-E05E87AC0294}"/>
    <hyperlink ref="B120" r:id="rId6" xr:uid="{6C7E8E13-3570-4737-A8E5-2E4A62D64697}"/>
    <hyperlink ref="B137" r:id="rId7" xr:uid="{DCCAE8D7-760C-40C9-AF58-2244010CCA4E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2115-6407-48FB-8337-AECE435DF53A}">
  <sheetPr filterMode="1"/>
  <dimension ref="A1:F145"/>
  <sheetViews>
    <sheetView workbookViewId="0">
      <selection activeCell="A95" sqref="A95"/>
    </sheetView>
  </sheetViews>
  <sheetFormatPr defaultRowHeight="15" x14ac:dyDescent="0.25"/>
  <sheetData>
    <row r="1" spans="1:6" ht="75" x14ac:dyDescent="0.25">
      <c r="A1" s="9">
        <v>1</v>
      </c>
      <c r="B1" s="9" t="s">
        <v>175</v>
      </c>
      <c r="C1" s="9" t="s">
        <v>8</v>
      </c>
      <c r="D1" s="9" t="s">
        <v>71</v>
      </c>
      <c r="E1" s="9" t="s">
        <v>307</v>
      </c>
      <c r="F1" s="9"/>
    </row>
    <row r="2" spans="1:6" ht="60" hidden="1" x14ac:dyDescent="0.25">
      <c r="A2" s="9">
        <v>2</v>
      </c>
      <c r="B2" s="9" t="s">
        <v>189</v>
      </c>
      <c r="C2" s="9" t="s">
        <v>53</v>
      </c>
      <c r="D2" s="9" t="s">
        <v>8</v>
      </c>
      <c r="E2" s="9" t="s">
        <v>308</v>
      </c>
      <c r="F2" s="9"/>
    </row>
    <row r="3" spans="1:6" ht="75" hidden="1" x14ac:dyDescent="0.25">
      <c r="A3" s="9">
        <v>3</v>
      </c>
      <c r="B3" s="9" t="s">
        <v>3</v>
      </c>
      <c r="C3" s="9" t="s">
        <v>10</v>
      </c>
      <c r="D3" s="9" t="s">
        <v>15</v>
      </c>
      <c r="E3" s="9" t="s">
        <v>307</v>
      </c>
      <c r="F3" s="9"/>
    </row>
    <row r="4" spans="1:6" ht="60" hidden="1" x14ac:dyDescent="0.25">
      <c r="A4" s="9">
        <v>4</v>
      </c>
      <c r="B4" s="9" t="s">
        <v>19</v>
      </c>
      <c r="C4" s="9" t="s">
        <v>24</v>
      </c>
      <c r="D4" s="9" t="s">
        <v>147</v>
      </c>
      <c r="E4" s="9" t="s">
        <v>307</v>
      </c>
      <c r="F4" s="9"/>
    </row>
    <row r="5" spans="1:6" ht="60" hidden="1" x14ac:dyDescent="0.25">
      <c r="A5" s="9">
        <v>5</v>
      </c>
      <c r="B5" s="9" t="s">
        <v>27</v>
      </c>
      <c r="C5" s="9" t="s">
        <v>18</v>
      </c>
      <c r="D5" s="9" t="s">
        <v>31</v>
      </c>
      <c r="E5" s="9" t="s">
        <v>307</v>
      </c>
      <c r="F5" s="9"/>
    </row>
    <row r="6" spans="1:6" ht="75" hidden="1" x14ac:dyDescent="0.25">
      <c r="A6" s="9">
        <v>6</v>
      </c>
      <c r="B6" s="9" t="s">
        <v>33</v>
      </c>
      <c r="C6" s="9" t="s">
        <v>257</v>
      </c>
      <c r="D6" s="9" t="s">
        <v>36</v>
      </c>
      <c r="E6" s="9" t="s">
        <v>307</v>
      </c>
      <c r="F6" s="9"/>
    </row>
    <row r="7" spans="1:6" ht="60" hidden="1" x14ac:dyDescent="0.25">
      <c r="A7" s="9">
        <v>7</v>
      </c>
      <c r="B7" s="9" t="s">
        <v>88</v>
      </c>
      <c r="C7" s="9" t="s">
        <v>79</v>
      </c>
      <c r="D7" s="9" t="s">
        <v>23</v>
      </c>
      <c r="E7" s="9" t="s">
        <v>308</v>
      </c>
      <c r="F7" s="9"/>
    </row>
    <row r="8" spans="1:6" ht="75" hidden="1" x14ac:dyDescent="0.25">
      <c r="A8" s="9">
        <v>8</v>
      </c>
      <c r="B8" s="9" t="s">
        <v>7</v>
      </c>
      <c r="C8" s="9" t="s">
        <v>8</v>
      </c>
      <c r="D8" s="9" t="s">
        <v>71</v>
      </c>
      <c r="E8" s="9" t="s">
        <v>307</v>
      </c>
      <c r="F8" s="9"/>
    </row>
    <row r="9" spans="1:6" ht="75" hidden="1" x14ac:dyDescent="0.25">
      <c r="A9" s="9">
        <v>9</v>
      </c>
      <c r="B9" s="9" t="s">
        <v>9</v>
      </c>
      <c r="C9" s="9" t="s">
        <v>10</v>
      </c>
      <c r="D9" s="9" t="s">
        <v>15</v>
      </c>
      <c r="E9" s="9" t="s">
        <v>307</v>
      </c>
      <c r="F9" s="9"/>
    </row>
    <row r="10" spans="1:6" ht="75" hidden="1" x14ac:dyDescent="0.25">
      <c r="A10" s="9">
        <v>10</v>
      </c>
      <c r="B10" s="9" t="s">
        <v>13</v>
      </c>
      <c r="C10" s="9" t="s">
        <v>14</v>
      </c>
      <c r="D10" s="9" t="s">
        <v>117</v>
      </c>
      <c r="E10" s="9" t="s">
        <v>308</v>
      </c>
      <c r="F10" s="9"/>
    </row>
    <row r="11" spans="1:6" ht="60" hidden="1" x14ac:dyDescent="0.25">
      <c r="A11" s="9">
        <v>11</v>
      </c>
      <c r="B11" s="9" t="s">
        <v>187</v>
      </c>
      <c r="C11" s="9" t="s">
        <v>42</v>
      </c>
      <c r="D11" s="9" t="s">
        <v>8</v>
      </c>
      <c r="E11" s="9" t="s">
        <v>308</v>
      </c>
      <c r="F11" s="9"/>
    </row>
    <row r="12" spans="1:6" ht="60" hidden="1" x14ac:dyDescent="0.25">
      <c r="A12" s="9">
        <v>12</v>
      </c>
      <c r="B12" s="9" t="s">
        <v>38</v>
      </c>
      <c r="C12" s="9" t="s">
        <v>112</v>
      </c>
      <c r="D12" s="9" t="s">
        <v>291</v>
      </c>
      <c r="E12" s="9" t="s">
        <v>309</v>
      </c>
      <c r="F12" s="9"/>
    </row>
    <row r="13" spans="1:6" ht="75" hidden="1" x14ac:dyDescent="0.25">
      <c r="A13" s="9">
        <v>13</v>
      </c>
      <c r="B13" s="9" t="s">
        <v>43</v>
      </c>
      <c r="C13" s="9" t="s">
        <v>71</v>
      </c>
      <c r="D13" s="9" t="s">
        <v>15</v>
      </c>
      <c r="E13" s="9" t="s">
        <v>309</v>
      </c>
      <c r="F13" s="9"/>
    </row>
    <row r="14" spans="1:6" ht="60" hidden="1" x14ac:dyDescent="0.25">
      <c r="A14" s="9">
        <v>14</v>
      </c>
      <c r="B14" s="9" t="s">
        <v>83</v>
      </c>
      <c r="C14" s="9" t="s">
        <v>79</v>
      </c>
      <c r="D14" s="9" t="s">
        <v>23</v>
      </c>
      <c r="E14" s="9" t="s">
        <v>308</v>
      </c>
      <c r="F14" s="9"/>
    </row>
    <row r="15" spans="1:6" ht="60" hidden="1" x14ac:dyDescent="0.25">
      <c r="A15" s="9">
        <v>15</v>
      </c>
      <c r="B15" s="9" t="s">
        <v>48</v>
      </c>
      <c r="C15" s="9" t="s">
        <v>23</v>
      </c>
      <c r="D15" s="9" t="s">
        <v>52</v>
      </c>
      <c r="E15" s="9" t="s">
        <v>307</v>
      </c>
      <c r="F15" s="9"/>
    </row>
    <row r="16" spans="1:6" ht="60" hidden="1" x14ac:dyDescent="0.25">
      <c r="A16" s="9">
        <v>16</v>
      </c>
      <c r="B16" s="9" t="s">
        <v>17</v>
      </c>
      <c r="C16" s="9" t="s">
        <v>18</v>
      </c>
      <c r="D16" s="9" t="s">
        <v>24</v>
      </c>
      <c r="E16" s="9" t="s">
        <v>308</v>
      </c>
      <c r="F16" s="9"/>
    </row>
    <row r="17" spans="1:6" ht="90" hidden="1" x14ac:dyDescent="0.25">
      <c r="A17" s="9">
        <v>17</v>
      </c>
      <c r="B17" s="9" t="s">
        <v>22</v>
      </c>
      <c r="C17" s="9" t="s">
        <v>23</v>
      </c>
      <c r="D17" s="9" t="s">
        <v>71</v>
      </c>
      <c r="E17" s="9" t="s">
        <v>307</v>
      </c>
      <c r="F17" s="9"/>
    </row>
    <row r="18" spans="1:6" ht="75" hidden="1" x14ac:dyDescent="0.25">
      <c r="A18" s="9">
        <v>18</v>
      </c>
      <c r="B18" s="9" t="s">
        <v>54</v>
      </c>
      <c r="C18" s="9" t="s">
        <v>71</v>
      </c>
      <c r="D18" s="9" t="s">
        <v>77</v>
      </c>
      <c r="E18" s="9" t="s">
        <v>309</v>
      </c>
      <c r="F18" s="9"/>
    </row>
    <row r="19" spans="1:6" ht="75" hidden="1" x14ac:dyDescent="0.25">
      <c r="A19" s="9">
        <v>19</v>
      </c>
      <c r="B19" s="9" t="s">
        <v>59</v>
      </c>
      <c r="C19" s="9" t="s">
        <v>77</v>
      </c>
      <c r="D19" s="9" t="s">
        <v>71</v>
      </c>
      <c r="E19" s="9" t="s">
        <v>309</v>
      </c>
      <c r="F19" s="9"/>
    </row>
    <row r="20" spans="1:6" ht="60" hidden="1" x14ac:dyDescent="0.25">
      <c r="A20" s="9">
        <v>20</v>
      </c>
      <c r="B20" s="9" t="s">
        <v>25</v>
      </c>
      <c r="C20" s="9" t="s">
        <v>59</v>
      </c>
      <c r="D20" s="9" t="s">
        <v>77</v>
      </c>
      <c r="E20" s="9" t="s">
        <v>308</v>
      </c>
      <c r="F20" s="9"/>
    </row>
    <row r="21" spans="1:6" ht="75" hidden="1" x14ac:dyDescent="0.25">
      <c r="A21" s="9">
        <v>21</v>
      </c>
      <c r="B21" s="9" t="s">
        <v>30</v>
      </c>
      <c r="C21" s="9" t="s">
        <v>8</v>
      </c>
      <c r="D21" s="9" t="s">
        <v>71</v>
      </c>
      <c r="E21" s="9" t="s">
        <v>307</v>
      </c>
      <c r="F21" s="9"/>
    </row>
    <row r="22" spans="1:6" ht="60" hidden="1" x14ac:dyDescent="0.25">
      <c r="A22" s="9">
        <v>22</v>
      </c>
      <c r="B22" s="9" t="s">
        <v>32</v>
      </c>
      <c r="C22" s="9" t="s">
        <v>8</v>
      </c>
      <c r="D22" s="9" t="s">
        <v>37</v>
      </c>
      <c r="E22" s="9" t="s">
        <v>308</v>
      </c>
      <c r="F22" s="9"/>
    </row>
    <row r="23" spans="1:6" ht="75" hidden="1" x14ac:dyDescent="0.25">
      <c r="A23" s="9">
        <v>23</v>
      </c>
      <c r="B23" s="9" t="s">
        <v>73</v>
      </c>
      <c r="C23" s="9" t="s">
        <v>8</v>
      </c>
      <c r="D23" s="9" t="s">
        <v>71</v>
      </c>
      <c r="E23" s="9" t="s">
        <v>309</v>
      </c>
      <c r="F23" s="9"/>
    </row>
    <row r="24" spans="1:6" ht="75" hidden="1" x14ac:dyDescent="0.25">
      <c r="A24" s="9">
        <v>24</v>
      </c>
      <c r="B24" s="9" t="s">
        <v>79</v>
      </c>
      <c r="C24" s="9" t="s">
        <v>23</v>
      </c>
      <c r="D24" s="9" t="s">
        <v>71</v>
      </c>
      <c r="E24" s="9" t="s">
        <v>309</v>
      </c>
      <c r="F24" s="9"/>
    </row>
    <row r="25" spans="1:6" ht="60" hidden="1" x14ac:dyDescent="0.25">
      <c r="A25" s="9">
        <v>25</v>
      </c>
      <c r="B25" s="9" t="s">
        <v>91</v>
      </c>
      <c r="C25" s="9" t="s">
        <v>94</v>
      </c>
      <c r="D25" s="9" t="s">
        <v>272</v>
      </c>
      <c r="E25" s="9" t="s">
        <v>307</v>
      </c>
      <c r="F25" s="9"/>
    </row>
    <row r="26" spans="1:6" ht="60" hidden="1" x14ac:dyDescent="0.25">
      <c r="A26" s="9">
        <v>27</v>
      </c>
      <c r="B26" s="9" t="s">
        <v>141</v>
      </c>
      <c r="C26" s="9" t="s">
        <v>18</v>
      </c>
      <c r="D26" s="9" t="s">
        <v>24</v>
      </c>
      <c r="E26" s="9" t="s">
        <v>307</v>
      </c>
      <c r="F26" s="9"/>
    </row>
    <row r="27" spans="1:6" ht="75" hidden="1" x14ac:dyDescent="0.25">
      <c r="A27" s="9">
        <v>28</v>
      </c>
      <c r="B27" s="9" t="s">
        <v>37</v>
      </c>
      <c r="C27" s="9" t="s">
        <v>15</v>
      </c>
      <c r="D27" s="9" t="s">
        <v>71</v>
      </c>
      <c r="E27" s="9" t="s">
        <v>309</v>
      </c>
      <c r="F27" s="9"/>
    </row>
    <row r="28" spans="1:6" ht="75" hidden="1" x14ac:dyDescent="0.25">
      <c r="A28" s="9">
        <v>29</v>
      </c>
      <c r="B28" s="9" t="s">
        <v>14</v>
      </c>
      <c r="C28" s="9" t="s">
        <v>117</v>
      </c>
      <c r="D28" s="9" t="s">
        <v>71</v>
      </c>
      <c r="E28" s="9" t="s">
        <v>309</v>
      </c>
      <c r="F28" s="9"/>
    </row>
    <row r="29" spans="1:6" ht="60" hidden="1" x14ac:dyDescent="0.25">
      <c r="A29" s="9">
        <v>30</v>
      </c>
      <c r="B29" s="9" t="s">
        <v>109</v>
      </c>
      <c r="C29" s="9" t="s">
        <v>8</v>
      </c>
      <c r="D29" s="9" t="s">
        <v>52</v>
      </c>
      <c r="E29" s="9" t="s">
        <v>307</v>
      </c>
      <c r="F29" s="9"/>
    </row>
    <row r="30" spans="1:6" ht="60" hidden="1" x14ac:dyDescent="0.25">
      <c r="A30" s="9">
        <v>32</v>
      </c>
      <c r="B30" s="9" t="s">
        <v>41</v>
      </c>
      <c r="C30" s="9" t="s">
        <v>18</v>
      </c>
      <c r="D30" s="9" t="s">
        <v>24</v>
      </c>
      <c r="E30" s="9" t="s">
        <v>307</v>
      </c>
      <c r="F30" s="9"/>
    </row>
    <row r="31" spans="1:6" ht="75" hidden="1" x14ac:dyDescent="0.25">
      <c r="A31" s="9">
        <v>33</v>
      </c>
      <c r="B31" s="9" t="s">
        <v>10</v>
      </c>
      <c r="C31" s="9" t="s">
        <v>15</v>
      </c>
      <c r="D31" s="9" t="s">
        <v>71</v>
      </c>
      <c r="E31" s="9" t="s">
        <v>309</v>
      </c>
      <c r="F31" s="9"/>
    </row>
    <row r="32" spans="1:6" ht="90" hidden="1" x14ac:dyDescent="0.25">
      <c r="A32" s="9">
        <v>34</v>
      </c>
      <c r="B32" s="9" t="s">
        <v>120</v>
      </c>
      <c r="C32" s="9" t="s">
        <v>230</v>
      </c>
      <c r="D32" s="9" t="s">
        <v>123</v>
      </c>
      <c r="E32" s="9" t="s">
        <v>307</v>
      </c>
      <c r="F32" s="9"/>
    </row>
    <row r="33" spans="1:6" ht="60" hidden="1" x14ac:dyDescent="0.25">
      <c r="A33" s="9">
        <v>35</v>
      </c>
      <c r="B33" s="9" t="s">
        <v>18</v>
      </c>
      <c r="C33" s="9" t="s">
        <v>24</v>
      </c>
      <c r="D33" s="9" t="s">
        <v>147</v>
      </c>
      <c r="E33" s="9" t="s">
        <v>309</v>
      </c>
      <c r="F33" s="9"/>
    </row>
    <row r="34" spans="1:6" ht="75" hidden="1" x14ac:dyDescent="0.25">
      <c r="A34" s="9">
        <v>36</v>
      </c>
      <c r="B34" s="9" t="s">
        <v>126</v>
      </c>
      <c r="C34" s="9" t="s">
        <v>10</v>
      </c>
      <c r="D34" s="9" t="s">
        <v>15</v>
      </c>
      <c r="E34" s="9" t="s">
        <v>307</v>
      </c>
      <c r="F34" s="9"/>
    </row>
    <row r="35" spans="1:6" ht="90" hidden="1" x14ac:dyDescent="0.25">
      <c r="A35" s="9">
        <v>37</v>
      </c>
      <c r="B35" s="9" t="s">
        <v>148</v>
      </c>
      <c r="C35" s="9" t="s">
        <v>285</v>
      </c>
      <c r="D35" s="9" t="s">
        <v>37</v>
      </c>
      <c r="E35" s="9" t="s">
        <v>307</v>
      </c>
      <c r="F35" s="9"/>
    </row>
    <row r="36" spans="1:6" ht="60" hidden="1" x14ac:dyDescent="0.25">
      <c r="A36" s="9">
        <v>38</v>
      </c>
      <c r="B36" s="9" t="s">
        <v>151</v>
      </c>
      <c r="C36" s="9" t="s">
        <v>36</v>
      </c>
      <c r="D36" s="9" t="s">
        <v>291</v>
      </c>
      <c r="E36" s="9" t="s">
        <v>307</v>
      </c>
      <c r="F36" s="9"/>
    </row>
    <row r="37" spans="1:6" ht="75" hidden="1" x14ac:dyDescent="0.25">
      <c r="A37" s="9">
        <v>39</v>
      </c>
      <c r="B37" s="9" t="s">
        <v>42</v>
      </c>
      <c r="C37" s="9" t="s">
        <v>8</v>
      </c>
      <c r="D37" s="9" t="s">
        <v>71</v>
      </c>
      <c r="E37" s="9" t="s">
        <v>307</v>
      </c>
      <c r="F37" s="9"/>
    </row>
    <row r="38" spans="1:6" ht="60" hidden="1" x14ac:dyDescent="0.25">
      <c r="A38" s="9">
        <v>40</v>
      </c>
      <c r="B38" s="9" t="s">
        <v>144</v>
      </c>
      <c r="C38" s="9" t="s">
        <v>18</v>
      </c>
      <c r="D38" s="9" t="s">
        <v>24</v>
      </c>
      <c r="E38" s="9" t="s">
        <v>307</v>
      </c>
      <c r="F38" s="9"/>
    </row>
    <row r="39" spans="1:6" ht="60" hidden="1" x14ac:dyDescent="0.25">
      <c r="A39" s="9">
        <v>41</v>
      </c>
      <c r="B39" s="9" t="s">
        <v>147</v>
      </c>
      <c r="C39" s="9" t="s">
        <v>24</v>
      </c>
      <c r="D39" s="9" t="s">
        <v>36</v>
      </c>
      <c r="E39" s="9" t="s">
        <v>309</v>
      </c>
      <c r="F39" s="9"/>
    </row>
    <row r="40" spans="1:6" ht="45" hidden="1" x14ac:dyDescent="0.25">
      <c r="A40" s="9">
        <v>42</v>
      </c>
      <c r="B40" s="9" t="s">
        <v>161</v>
      </c>
      <c r="C40" s="9" t="s">
        <v>209</v>
      </c>
      <c r="D40" s="9" t="s">
        <v>164</v>
      </c>
      <c r="E40" s="9" t="s">
        <v>307</v>
      </c>
      <c r="F40" s="9"/>
    </row>
    <row r="41" spans="1:6" ht="60" hidden="1" x14ac:dyDescent="0.25">
      <c r="A41" s="9">
        <v>43</v>
      </c>
      <c r="B41" s="9" t="s">
        <v>159</v>
      </c>
      <c r="C41" s="9" t="s">
        <v>24</v>
      </c>
      <c r="D41" s="9" t="s">
        <v>147</v>
      </c>
      <c r="E41" s="9" t="s">
        <v>307</v>
      </c>
      <c r="F41" s="9"/>
    </row>
    <row r="42" spans="1:6" ht="60" hidden="1" x14ac:dyDescent="0.25">
      <c r="A42" s="9">
        <v>44</v>
      </c>
      <c r="B42" s="9" t="s">
        <v>70</v>
      </c>
      <c r="C42" s="9" t="s">
        <v>53</v>
      </c>
      <c r="D42" s="9" t="s">
        <v>23</v>
      </c>
      <c r="E42" s="9" t="s">
        <v>308</v>
      </c>
      <c r="F42" s="9"/>
    </row>
    <row r="43" spans="1:6" ht="60" hidden="1" x14ac:dyDescent="0.25">
      <c r="A43" s="9">
        <v>45</v>
      </c>
      <c r="B43" s="9" t="s">
        <v>117</v>
      </c>
      <c r="C43" s="9" t="s">
        <v>291</v>
      </c>
      <c r="D43" s="9" t="s">
        <v>112</v>
      </c>
      <c r="E43" s="9" t="s">
        <v>309</v>
      </c>
      <c r="F43" s="9"/>
    </row>
    <row r="44" spans="1:6" ht="45" hidden="1" x14ac:dyDescent="0.25">
      <c r="A44" s="9">
        <v>46</v>
      </c>
      <c r="B44" s="9" t="s">
        <v>169</v>
      </c>
      <c r="C44" s="9" t="s">
        <v>164</v>
      </c>
      <c r="D44" s="9" t="s">
        <v>36</v>
      </c>
      <c r="E44" s="9" t="s">
        <v>307</v>
      </c>
      <c r="F44" s="9"/>
    </row>
    <row r="45" spans="1:6" ht="60" hidden="1" x14ac:dyDescent="0.25">
      <c r="A45" s="9">
        <v>47</v>
      </c>
      <c r="B45" s="9" t="s">
        <v>63</v>
      </c>
      <c r="C45" s="9" t="s">
        <v>59</v>
      </c>
      <c r="D45" s="9" t="s">
        <v>77</v>
      </c>
      <c r="E45" s="9" t="s">
        <v>309</v>
      </c>
      <c r="F45" s="9"/>
    </row>
    <row r="46" spans="1:6" ht="75" hidden="1" x14ac:dyDescent="0.25">
      <c r="A46" s="9">
        <v>48</v>
      </c>
      <c r="B46" s="9" t="s">
        <v>8</v>
      </c>
      <c r="C46" s="9" t="s">
        <v>71</v>
      </c>
      <c r="D46" s="9" t="s">
        <v>77</v>
      </c>
      <c r="E46" s="9" t="s">
        <v>309</v>
      </c>
      <c r="F46" s="9"/>
    </row>
    <row r="47" spans="1:6" ht="90" hidden="1" x14ac:dyDescent="0.25">
      <c r="A47" s="9">
        <v>49</v>
      </c>
      <c r="B47" s="9" t="s">
        <v>193</v>
      </c>
      <c r="C47" s="9" t="s">
        <v>285</v>
      </c>
      <c r="D47" s="9" t="s">
        <v>18</v>
      </c>
      <c r="E47" s="9" t="s">
        <v>307</v>
      </c>
      <c r="F47" s="9"/>
    </row>
    <row r="48" spans="1:6" ht="60" hidden="1" x14ac:dyDescent="0.25">
      <c r="A48" s="9">
        <v>50</v>
      </c>
      <c r="B48" s="9" t="s">
        <v>72</v>
      </c>
      <c r="C48" s="9" t="s">
        <v>126</v>
      </c>
      <c r="D48" s="9" t="s">
        <v>10</v>
      </c>
      <c r="E48" s="9" t="s">
        <v>308</v>
      </c>
      <c r="F48" s="9"/>
    </row>
    <row r="49" spans="1:6" ht="75" hidden="1" x14ac:dyDescent="0.25">
      <c r="A49" s="9">
        <v>51</v>
      </c>
      <c r="B49" s="9" t="s">
        <v>97</v>
      </c>
      <c r="C49" s="9" t="s">
        <v>37</v>
      </c>
      <c r="D49" s="9" t="s">
        <v>71</v>
      </c>
      <c r="E49" s="9" t="s">
        <v>307</v>
      </c>
      <c r="F49" s="9"/>
    </row>
    <row r="50" spans="1:6" ht="60" hidden="1" x14ac:dyDescent="0.25">
      <c r="A50" s="9">
        <v>52</v>
      </c>
      <c r="B50" s="9" t="s">
        <v>196</v>
      </c>
      <c r="C50" s="9" t="s">
        <v>272</v>
      </c>
      <c r="D50" s="9" t="s">
        <v>94</v>
      </c>
      <c r="E50" s="9" t="s">
        <v>307</v>
      </c>
      <c r="F50" s="9"/>
    </row>
    <row r="51" spans="1:6" ht="75" hidden="1" x14ac:dyDescent="0.25">
      <c r="A51" s="9">
        <v>53</v>
      </c>
      <c r="B51" s="9" t="s">
        <v>23</v>
      </c>
      <c r="C51" s="9" t="s">
        <v>71</v>
      </c>
      <c r="D51" s="9" t="s">
        <v>15</v>
      </c>
      <c r="E51" s="9" t="s">
        <v>309</v>
      </c>
      <c r="F51" s="9"/>
    </row>
    <row r="52" spans="1:6" ht="75" hidden="1" x14ac:dyDescent="0.25">
      <c r="A52" s="9">
        <v>55</v>
      </c>
      <c r="B52" s="9" t="s">
        <v>46</v>
      </c>
      <c r="C52" s="9" t="s">
        <v>8</v>
      </c>
      <c r="D52" s="9" t="s">
        <v>71</v>
      </c>
      <c r="E52" s="9" t="s">
        <v>307</v>
      </c>
      <c r="F52" s="9"/>
    </row>
    <row r="53" spans="1:6" ht="60" hidden="1" x14ac:dyDescent="0.25">
      <c r="A53" s="9">
        <v>56</v>
      </c>
      <c r="B53" s="9" t="s">
        <v>209</v>
      </c>
      <c r="C53" s="9" t="s">
        <v>164</v>
      </c>
      <c r="D53" s="9" t="s">
        <v>112</v>
      </c>
      <c r="E53" s="9" t="s">
        <v>309</v>
      </c>
      <c r="F53" s="9"/>
    </row>
    <row r="54" spans="1:6" ht="60" hidden="1" x14ac:dyDescent="0.25">
      <c r="A54" s="9">
        <v>57</v>
      </c>
      <c r="B54" s="9" t="s">
        <v>76</v>
      </c>
      <c r="C54" s="9" t="s">
        <v>126</v>
      </c>
      <c r="D54" s="9" t="s">
        <v>10</v>
      </c>
      <c r="E54" s="9" t="s">
        <v>308</v>
      </c>
      <c r="F54" s="9"/>
    </row>
    <row r="55" spans="1:6" ht="60" hidden="1" x14ac:dyDescent="0.25">
      <c r="A55" s="9">
        <v>58</v>
      </c>
      <c r="B55" s="9" t="s">
        <v>47</v>
      </c>
      <c r="C55" s="9" t="s">
        <v>10</v>
      </c>
      <c r="D55" s="9" t="s">
        <v>77</v>
      </c>
      <c r="E55" s="9" t="s">
        <v>308</v>
      </c>
      <c r="F55" s="9"/>
    </row>
    <row r="56" spans="1:6" ht="75" hidden="1" x14ac:dyDescent="0.25">
      <c r="A56" s="9">
        <v>59</v>
      </c>
      <c r="B56" s="9" t="s">
        <v>203</v>
      </c>
      <c r="C56" s="9" t="s">
        <v>23</v>
      </c>
      <c r="D56" s="9" t="s">
        <v>71</v>
      </c>
      <c r="E56" s="9" t="s">
        <v>307</v>
      </c>
      <c r="F56" s="9"/>
    </row>
    <row r="57" spans="1:6" ht="60" hidden="1" x14ac:dyDescent="0.25">
      <c r="A57" s="9">
        <v>60</v>
      </c>
      <c r="B57" s="9" t="s">
        <v>78</v>
      </c>
      <c r="C57" s="9" t="s">
        <v>126</v>
      </c>
      <c r="D57" s="9" t="s">
        <v>10</v>
      </c>
      <c r="E57" s="9" t="s">
        <v>308</v>
      </c>
      <c r="F57" s="9"/>
    </row>
    <row r="58" spans="1:6" ht="60" hidden="1" x14ac:dyDescent="0.25">
      <c r="A58" s="9">
        <v>61</v>
      </c>
      <c r="B58" s="9" t="s">
        <v>82</v>
      </c>
      <c r="C58" s="9" t="s">
        <v>126</v>
      </c>
      <c r="D58" s="9" t="s">
        <v>10</v>
      </c>
      <c r="E58" s="9" t="s">
        <v>308</v>
      </c>
      <c r="F58" s="9"/>
    </row>
    <row r="59" spans="1:6" ht="75" hidden="1" x14ac:dyDescent="0.25">
      <c r="A59" s="9">
        <v>62</v>
      </c>
      <c r="B59" s="9" t="s">
        <v>99</v>
      </c>
      <c r="C59" s="9" t="s">
        <v>37</v>
      </c>
      <c r="D59" s="9" t="s">
        <v>71</v>
      </c>
      <c r="E59" s="9" t="s">
        <v>307</v>
      </c>
      <c r="F59" s="9"/>
    </row>
    <row r="60" spans="1:6" ht="75" hidden="1" x14ac:dyDescent="0.25">
      <c r="A60" s="9">
        <v>63</v>
      </c>
      <c r="B60" s="9" t="s">
        <v>181</v>
      </c>
      <c r="C60" s="9" t="s">
        <v>8</v>
      </c>
      <c r="D60" s="9" t="s">
        <v>71</v>
      </c>
      <c r="E60" s="9" t="s">
        <v>307</v>
      </c>
      <c r="F60" s="9"/>
    </row>
    <row r="61" spans="1:6" ht="60" hidden="1" x14ac:dyDescent="0.25">
      <c r="A61" s="9">
        <v>64</v>
      </c>
      <c r="B61" s="9" t="s">
        <v>86</v>
      </c>
      <c r="C61" s="9" t="s">
        <v>79</v>
      </c>
      <c r="D61" s="9" t="s">
        <v>23</v>
      </c>
      <c r="E61" s="9" t="s">
        <v>308</v>
      </c>
      <c r="F61" s="9"/>
    </row>
    <row r="62" spans="1:6" ht="60" hidden="1" x14ac:dyDescent="0.25">
      <c r="A62" s="9">
        <v>65</v>
      </c>
      <c r="B62" s="9" t="s">
        <v>212</v>
      </c>
      <c r="C62" s="9" t="s">
        <v>209</v>
      </c>
      <c r="D62" s="9" t="s">
        <v>164</v>
      </c>
      <c r="E62" s="9" t="s">
        <v>307</v>
      </c>
      <c r="F62" s="9"/>
    </row>
    <row r="63" spans="1:6" ht="90" hidden="1" x14ac:dyDescent="0.25">
      <c r="A63" s="9">
        <v>66</v>
      </c>
      <c r="B63" s="9" t="s">
        <v>65</v>
      </c>
      <c r="C63" s="9" t="s">
        <v>285</v>
      </c>
      <c r="D63" s="9" t="s">
        <v>59</v>
      </c>
      <c r="E63" s="9" t="s">
        <v>307</v>
      </c>
      <c r="F63" s="9"/>
    </row>
    <row r="64" spans="1:6" ht="60" hidden="1" x14ac:dyDescent="0.25">
      <c r="A64" s="9">
        <v>67</v>
      </c>
      <c r="B64" s="9" t="s">
        <v>85</v>
      </c>
      <c r="C64" s="9" t="s">
        <v>126</v>
      </c>
      <c r="D64" s="9" t="s">
        <v>10</v>
      </c>
      <c r="E64" s="9" t="s">
        <v>308</v>
      </c>
      <c r="F64" s="9"/>
    </row>
    <row r="65" spans="1:6" ht="60" hidden="1" x14ac:dyDescent="0.25">
      <c r="A65" s="9">
        <v>68</v>
      </c>
      <c r="B65" s="9" t="s">
        <v>68</v>
      </c>
      <c r="C65" s="9" t="s">
        <v>59</v>
      </c>
      <c r="D65" s="9" t="s">
        <v>31</v>
      </c>
      <c r="E65" s="9" t="s">
        <v>307</v>
      </c>
      <c r="F65" s="9"/>
    </row>
    <row r="66" spans="1:6" ht="90" hidden="1" x14ac:dyDescent="0.25">
      <c r="A66" s="9">
        <v>69</v>
      </c>
      <c r="B66" s="9" t="s">
        <v>123</v>
      </c>
      <c r="C66" s="9" t="s">
        <v>77</v>
      </c>
      <c r="D66" s="9" t="s">
        <v>15</v>
      </c>
      <c r="E66" s="9" t="s">
        <v>309</v>
      </c>
      <c r="F66" s="9"/>
    </row>
    <row r="67" spans="1:6" ht="75" hidden="1" x14ac:dyDescent="0.25">
      <c r="A67" s="9">
        <v>70</v>
      </c>
      <c r="B67" s="9" t="s">
        <v>222</v>
      </c>
      <c r="C67" s="9" t="s">
        <v>291</v>
      </c>
      <c r="D67" s="9" t="s">
        <v>15</v>
      </c>
      <c r="E67" s="9" t="s">
        <v>309</v>
      </c>
      <c r="F67" s="9"/>
    </row>
    <row r="68" spans="1:6" ht="75" hidden="1" x14ac:dyDescent="0.25">
      <c r="A68" s="9">
        <v>71</v>
      </c>
      <c r="B68" s="9" t="s">
        <v>227</v>
      </c>
      <c r="C68" s="9" t="s">
        <v>71</v>
      </c>
      <c r="D68" s="9" t="s">
        <v>77</v>
      </c>
      <c r="E68" s="9" t="s">
        <v>307</v>
      </c>
      <c r="F68" s="9"/>
    </row>
    <row r="69" spans="1:6" ht="90" hidden="1" x14ac:dyDescent="0.25">
      <c r="A69" s="9">
        <v>72</v>
      </c>
      <c r="B69" s="9" t="s">
        <v>230</v>
      </c>
      <c r="C69" s="9" t="s">
        <v>71</v>
      </c>
      <c r="D69" s="9" t="s">
        <v>77</v>
      </c>
      <c r="E69" s="9" t="s">
        <v>309</v>
      </c>
      <c r="F69" s="9"/>
    </row>
    <row r="70" spans="1:6" ht="75" hidden="1" x14ac:dyDescent="0.25">
      <c r="A70" s="9">
        <v>73</v>
      </c>
      <c r="B70" s="9" t="s">
        <v>129</v>
      </c>
      <c r="C70" s="9" t="s">
        <v>10</v>
      </c>
      <c r="D70" s="9" t="s">
        <v>15</v>
      </c>
      <c r="E70" s="9" t="s">
        <v>307</v>
      </c>
      <c r="F70" s="9"/>
    </row>
    <row r="71" spans="1:6" ht="75" hidden="1" x14ac:dyDescent="0.25">
      <c r="A71" s="9">
        <v>74</v>
      </c>
      <c r="B71" s="9" t="s">
        <v>51</v>
      </c>
      <c r="C71" s="9" t="s">
        <v>10</v>
      </c>
      <c r="D71" s="9" t="s">
        <v>15</v>
      </c>
      <c r="E71" s="9" t="s">
        <v>307</v>
      </c>
      <c r="F71" s="9"/>
    </row>
    <row r="72" spans="1:6" ht="75" hidden="1" x14ac:dyDescent="0.25">
      <c r="A72" s="9">
        <v>75</v>
      </c>
      <c r="B72" s="9" t="s">
        <v>53</v>
      </c>
      <c r="C72" s="9" t="s">
        <v>8</v>
      </c>
      <c r="D72" s="9" t="s">
        <v>71</v>
      </c>
      <c r="E72" s="9" t="s">
        <v>307</v>
      </c>
      <c r="F72" s="9"/>
    </row>
    <row r="73" spans="1:6" ht="75" hidden="1" x14ac:dyDescent="0.25">
      <c r="A73" s="9">
        <v>76</v>
      </c>
      <c r="B73" s="9" t="s">
        <v>225</v>
      </c>
      <c r="C73" s="9" t="s">
        <v>222</v>
      </c>
      <c r="D73" s="9" t="s">
        <v>15</v>
      </c>
      <c r="E73" s="9" t="s">
        <v>307</v>
      </c>
      <c r="F73" s="9"/>
    </row>
    <row r="74" spans="1:6" ht="75" hidden="1" x14ac:dyDescent="0.25">
      <c r="A74" s="9">
        <v>77</v>
      </c>
      <c r="B74" s="9" t="s">
        <v>234</v>
      </c>
      <c r="C74" s="9" t="s">
        <v>52</v>
      </c>
      <c r="D74" s="9" t="s">
        <v>71</v>
      </c>
      <c r="E74" s="9" t="s">
        <v>307</v>
      </c>
      <c r="F74" s="9"/>
    </row>
    <row r="75" spans="1:6" ht="60" hidden="1" x14ac:dyDescent="0.25">
      <c r="A75" s="9">
        <v>78</v>
      </c>
      <c r="B75" s="9" t="s">
        <v>52</v>
      </c>
      <c r="C75" s="9" t="s">
        <v>112</v>
      </c>
      <c r="D75" s="9" t="s">
        <v>291</v>
      </c>
      <c r="E75" s="9" t="s">
        <v>309</v>
      </c>
      <c r="F75" s="9"/>
    </row>
    <row r="76" spans="1:6" ht="90" hidden="1" x14ac:dyDescent="0.25">
      <c r="A76" s="9">
        <v>79</v>
      </c>
      <c r="B76" s="9" t="s">
        <v>237</v>
      </c>
      <c r="C76" s="9" t="s">
        <v>285</v>
      </c>
      <c r="D76" s="9" t="s">
        <v>37</v>
      </c>
      <c r="E76" s="9" t="s">
        <v>307</v>
      </c>
      <c r="F76" s="9"/>
    </row>
    <row r="77" spans="1:6" ht="60" hidden="1" x14ac:dyDescent="0.25">
      <c r="A77" s="9">
        <v>80</v>
      </c>
      <c r="B77" s="9" t="s">
        <v>191</v>
      </c>
      <c r="C77" s="9" t="s">
        <v>53</v>
      </c>
      <c r="D77" s="9" t="s">
        <v>8</v>
      </c>
      <c r="E77" s="9" t="s">
        <v>308</v>
      </c>
      <c r="F77" s="9"/>
    </row>
    <row r="78" spans="1:6" ht="45" hidden="1" x14ac:dyDescent="0.25">
      <c r="A78" s="9">
        <v>81</v>
      </c>
      <c r="B78" s="9" t="s">
        <v>240</v>
      </c>
      <c r="C78" s="9" t="s">
        <v>24</v>
      </c>
      <c r="D78" s="9" t="s">
        <v>36</v>
      </c>
      <c r="E78" s="9" t="s">
        <v>307</v>
      </c>
      <c r="F78" s="9"/>
    </row>
    <row r="79" spans="1:6" ht="60" hidden="1" x14ac:dyDescent="0.25">
      <c r="A79" s="9">
        <v>82</v>
      </c>
      <c r="B79" s="9" t="s">
        <v>185</v>
      </c>
      <c r="C79" s="9" t="s">
        <v>8</v>
      </c>
      <c r="D79" s="9" t="s">
        <v>52</v>
      </c>
      <c r="E79" s="9" t="s">
        <v>307</v>
      </c>
      <c r="F79" s="9"/>
    </row>
    <row r="80" spans="1:6" ht="60" hidden="1" x14ac:dyDescent="0.25">
      <c r="A80" s="9">
        <v>83</v>
      </c>
      <c r="B80" s="9" t="s">
        <v>167</v>
      </c>
      <c r="C80" s="9" t="s">
        <v>117</v>
      </c>
      <c r="D80" s="9" t="s">
        <v>151</v>
      </c>
      <c r="E80" s="9" t="s">
        <v>307</v>
      </c>
      <c r="F80" s="9"/>
    </row>
    <row r="81" spans="1:6" ht="75" hidden="1" x14ac:dyDescent="0.25">
      <c r="A81" s="9">
        <v>84</v>
      </c>
      <c r="B81" s="9" t="s">
        <v>57</v>
      </c>
      <c r="C81" s="9" t="s">
        <v>37</v>
      </c>
      <c r="D81" s="9" t="s">
        <v>15</v>
      </c>
      <c r="E81" s="9" t="s">
        <v>307</v>
      </c>
      <c r="F81" s="9"/>
    </row>
    <row r="82" spans="1:6" ht="75" hidden="1" x14ac:dyDescent="0.25">
      <c r="A82" s="9">
        <v>85</v>
      </c>
      <c r="B82" s="9" t="s">
        <v>245</v>
      </c>
      <c r="C82" s="9" t="s">
        <v>31</v>
      </c>
      <c r="D82" s="9" t="s">
        <v>164</v>
      </c>
      <c r="E82" s="9" t="s">
        <v>307</v>
      </c>
      <c r="F82" s="9"/>
    </row>
    <row r="83" spans="1:6" ht="60" hidden="1" x14ac:dyDescent="0.25">
      <c r="A83" s="9">
        <v>86</v>
      </c>
      <c r="B83" s="9" t="s">
        <v>102</v>
      </c>
      <c r="C83" s="9" t="s">
        <v>37</v>
      </c>
      <c r="D83" s="9" t="s">
        <v>59</v>
      </c>
      <c r="E83" s="9" t="s">
        <v>308</v>
      </c>
      <c r="F83" s="9"/>
    </row>
    <row r="84" spans="1:6" ht="60" hidden="1" x14ac:dyDescent="0.25">
      <c r="A84" s="9">
        <v>87</v>
      </c>
      <c r="B84" s="9" t="s">
        <v>155</v>
      </c>
      <c r="C84" s="9" t="s">
        <v>36</v>
      </c>
      <c r="D84" s="9" t="s">
        <v>112</v>
      </c>
      <c r="E84" s="9" t="s">
        <v>307</v>
      </c>
      <c r="F84" s="9"/>
    </row>
    <row r="85" spans="1:6" ht="75" hidden="1" x14ac:dyDescent="0.25">
      <c r="A85" s="9">
        <v>88</v>
      </c>
      <c r="B85" s="9" t="s">
        <v>104</v>
      </c>
      <c r="C85" s="9" t="s">
        <v>37</v>
      </c>
      <c r="D85" s="9" t="s">
        <v>71</v>
      </c>
      <c r="E85" s="9" t="s">
        <v>307</v>
      </c>
      <c r="F85" s="9"/>
    </row>
    <row r="86" spans="1:6" ht="90" hidden="1" x14ac:dyDescent="0.25">
      <c r="A86" s="9">
        <v>89</v>
      </c>
      <c r="B86" s="9" t="s">
        <v>251</v>
      </c>
      <c r="C86" s="9" t="s">
        <v>285</v>
      </c>
      <c r="D86" s="9" t="s">
        <v>18</v>
      </c>
      <c r="E86" s="9" t="s">
        <v>307</v>
      </c>
      <c r="F86" s="9"/>
    </row>
    <row r="87" spans="1:6" ht="75" hidden="1" x14ac:dyDescent="0.25">
      <c r="A87" s="9">
        <v>90</v>
      </c>
      <c r="B87" s="9" t="s">
        <v>254</v>
      </c>
      <c r="C87" s="9" t="s">
        <v>15</v>
      </c>
      <c r="D87" s="9" t="s">
        <v>71</v>
      </c>
      <c r="E87" s="9" t="s">
        <v>309</v>
      </c>
      <c r="F87" s="9"/>
    </row>
    <row r="88" spans="1:6" ht="60" hidden="1" x14ac:dyDescent="0.25">
      <c r="A88" s="9">
        <v>91</v>
      </c>
      <c r="B88" s="9" t="s">
        <v>58</v>
      </c>
      <c r="C88" s="9" t="s">
        <v>18</v>
      </c>
      <c r="D88" s="9" t="s">
        <v>24</v>
      </c>
      <c r="E88" s="9" t="s">
        <v>307</v>
      </c>
      <c r="F88" s="9"/>
    </row>
    <row r="89" spans="1:6" ht="60" hidden="1" x14ac:dyDescent="0.25">
      <c r="A89" s="9">
        <v>92</v>
      </c>
      <c r="B89" s="9" t="s">
        <v>260</v>
      </c>
      <c r="C89" s="9" t="s">
        <v>272</v>
      </c>
      <c r="D89" s="9" t="s">
        <v>94</v>
      </c>
      <c r="E89" s="9" t="s">
        <v>307</v>
      </c>
      <c r="F89" s="9"/>
    </row>
    <row r="90" spans="1:6" ht="75" hidden="1" x14ac:dyDescent="0.25">
      <c r="A90" s="9">
        <v>93</v>
      </c>
      <c r="B90" s="9" t="s">
        <v>62</v>
      </c>
      <c r="C90" s="9" t="s">
        <v>23</v>
      </c>
      <c r="D90" s="9" t="s">
        <v>71</v>
      </c>
      <c r="E90" s="9" t="s">
        <v>307</v>
      </c>
      <c r="F90" s="9"/>
    </row>
    <row r="91" spans="1:6" ht="60" hidden="1" x14ac:dyDescent="0.25">
      <c r="A91" s="9">
        <v>94</v>
      </c>
      <c r="B91" s="9" t="s">
        <v>11</v>
      </c>
      <c r="C91" s="9" t="s">
        <v>3</v>
      </c>
      <c r="D91" s="9" t="s">
        <v>8</v>
      </c>
      <c r="E91" s="9" t="s">
        <v>308</v>
      </c>
      <c r="F91" s="9"/>
    </row>
    <row r="92" spans="1:6" ht="90" hidden="1" x14ac:dyDescent="0.25">
      <c r="A92" s="9">
        <v>95</v>
      </c>
      <c r="B92" s="9" t="s">
        <v>220</v>
      </c>
      <c r="C92" s="9" t="s">
        <v>123</v>
      </c>
      <c r="D92" s="9" t="s">
        <v>230</v>
      </c>
      <c r="E92" s="9" t="s">
        <v>307</v>
      </c>
      <c r="F92" s="9"/>
    </row>
    <row r="93" spans="1:6" ht="75" hidden="1" x14ac:dyDescent="0.25">
      <c r="A93" s="9">
        <v>96</v>
      </c>
      <c r="B93" s="9" t="s">
        <v>268</v>
      </c>
      <c r="C93" s="9" t="s">
        <v>31</v>
      </c>
      <c r="D93" s="9" t="s">
        <v>164</v>
      </c>
      <c r="E93" s="9" t="s">
        <v>307</v>
      </c>
      <c r="F93" s="9"/>
    </row>
    <row r="94" spans="1:6" ht="75" hidden="1" x14ac:dyDescent="0.25">
      <c r="A94" s="9">
        <v>97</v>
      </c>
      <c r="B94" s="9" t="s">
        <v>274</v>
      </c>
      <c r="C94" s="9" t="s">
        <v>94</v>
      </c>
      <c r="D94" s="9" t="s">
        <v>112</v>
      </c>
      <c r="E94" s="9" t="s">
        <v>309</v>
      </c>
      <c r="F94" s="9"/>
    </row>
    <row r="95" spans="1:6" ht="60" x14ac:dyDescent="0.25">
      <c r="A95" s="9">
        <v>98</v>
      </c>
      <c r="B95" s="9" t="s">
        <v>94</v>
      </c>
      <c r="C95" s="9" t="s">
        <v>112</v>
      </c>
      <c r="D95" s="9" t="s">
        <v>291</v>
      </c>
      <c r="E95" s="9" t="s">
        <v>309</v>
      </c>
      <c r="F95" s="9"/>
    </row>
    <row r="96" spans="1:6" ht="75" hidden="1" x14ac:dyDescent="0.25">
      <c r="A96" s="9">
        <v>99</v>
      </c>
      <c r="B96" s="9" t="s">
        <v>277</v>
      </c>
      <c r="C96" s="9" t="s">
        <v>10</v>
      </c>
      <c r="D96" s="9" t="s">
        <v>15</v>
      </c>
      <c r="E96" s="9" t="s">
        <v>307</v>
      </c>
      <c r="F96" s="9"/>
    </row>
    <row r="97" spans="1:6" ht="60" hidden="1" x14ac:dyDescent="0.25">
      <c r="A97" s="9">
        <v>100</v>
      </c>
      <c r="B97" s="9" t="s">
        <v>31</v>
      </c>
      <c r="C97" s="9" t="s">
        <v>112</v>
      </c>
      <c r="D97" s="9" t="s">
        <v>164</v>
      </c>
      <c r="E97" s="9" t="s">
        <v>309</v>
      </c>
      <c r="F97" s="9"/>
    </row>
    <row r="98" spans="1:6" ht="75" hidden="1" x14ac:dyDescent="0.25">
      <c r="A98" s="9">
        <v>101</v>
      </c>
      <c r="B98" s="9" t="s">
        <v>266</v>
      </c>
      <c r="C98" s="9" t="s">
        <v>52</v>
      </c>
      <c r="D98" s="9" t="s">
        <v>15</v>
      </c>
      <c r="E98" s="9" t="s">
        <v>309</v>
      </c>
      <c r="F98" s="9"/>
    </row>
    <row r="99" spans="1:6" ht="90" hidden="1" x14ac:dyDescent="0.25">
      <c r="A99" s="9">
        <v>102</v>
      </c>
      <c r="B99" s="9" t="s">
        <v>281</v>
      </c>
      <c r="C99" s="9" t="s">
        <v>285</v>
      </c>
      <c r="D99" s="9" t="s">
        <v>8</v>
      </c>
      <c r="E99" s="9" t="s">
        <v>307</v>
      </c>
      <c r="F99" s="9"/>
    </row>
    <row r="100" spans="1:6" ht="75" hidden="1" x14ac:dyDescent="0.25">
      <c r="A100" s="9">
        <v>103</v>
      </c>
      <c r="B100" s="9" t="s">
        <v>206</v>
      </c>
      <c r="C100" s="9" t="s">
        <v>67</v>
      </c>
      <c r="D100" s="9" t="s">
        <v>15</v>
      </c>
      <c r="E100" s="9" t="s">
        <v>307</v>
      </c>
      <c r="F100" s="9"/>
    </row>
    <row r="101" spans="1:6" ht="60" hidden="1" x14ac:dyDescent="0.25">
      <c r="A101" s="9">
        <v>104</v>
      </c>
      <c r="B101" s="9" t="s">
        <v>272</v>
      </c>
      <c r="C101" s="9" t="s">
        <v>94</v>
      </c>
      <c r="D101" s="9" t="s">
        <v>112</v>
      </c>
      <c r="E101" s="9" t="s">
        <v>307</v>
      </c>
      <c r="F101" s="9"/>
    </row>
    <row r="102" spans="1:6" ht="75" hidden="1" x14ac:dyDescent="0.25">
      <c r="A102" s="9">
        <v>105</v>
      </c>
      <c r="B102" s="9" t="s">
        <v>15</v>
      </c>
      <c r="C102" s="9" t="s">
        <v>112</v>
      </c>
      <c r="D102" s="9" t="s">
        <v>291</v>
      </c>
      <c r="E102" s="9" t="s">
        <v>309</v>
      </c>
      <c r="F102" s="9"/>
    </row>
    <row r="103" spans="1:6" ht="60" hidden="1" x14ac:dyDescent="0.25">
      <c r="A103" s="9">
        <v>106</v>
      </c>
      <c r="B103" s="9" t="s">
        <v>257</v>
      </c>
      <c r="C103" s="9" t="s">
        <v>36</v>
      </c>
      <c r="D103" s="9" t="s">
        <v>24</v>
      </c>
      <c r="E103" s="9" t="s">
        <v>309</v>
      </c>
      <c r="F103" s="9"/>
    </row>
    <row r="104" spans="1:6" ht="60" hidden="1" x14ac:dyDescent="0.25">
      <c r="A104" s="9">
        <v>107</v>
      </c>
      <c r="B104" s="9" t="s">
        <v>77</v>
      </c>
      <c r="C104" s="9" t="s">
        <v>112</v>
      </c>
      <c r="D104" s="9" t="s">
        <v>291</v>
      </c>
      <c r="E104" s="9" t="s">
        <v>309</v>
      </c>
      <c r="F104" s="9"/>
    </row>
    <row r="105" spans="1:6" ht="75" hidden="1" x14ac:dyDescent="0.25">
      <c r="A105" s="9">
        <v>108</v>
      </c>
      <c r="B105" s="9" t="s">
        <v>71</v>
      </c>
      <c r="C105" s="9" t="s">
        <v>112</v>
      </c>
      <c r="D105" s="9" t="s">
        <v>291</v>
      </c>
      <c r="E105" s="9" t="s">
        <v>309</v>
      </c>
      <c r="F105" s="9"/>
    </row>
    <row r="106" spans="1:6" ht="45" hidden="1" x14ac:dyDescent="0.25">
      <c r="A106" s="9">
        <v>109</v>
      </c>
      <c r="B106" s="9" t="s">
        <v>530</v>
      </c>
      <c r="C106" s="9" t="s">
        <v>31</v>
      </c>
      <c r="D106" s="9" t="s">
        <v>532</v>
      </c>
      <c r="E106" s="9" t="s">
        <v>309</v>
      </c>
      <c r="F106" s="9"/>
    </row>
    <row r="107" spans="1:6" ht="75" hidden="1" x14ac:dyDescent="0.25">
      <c r="A107" s="9">
        <v>110</v>
      </c>
      <c r="B107" s="9" t="s">
        <v>316</v>
      </c>
      <c r="C107" s="9" t="s">
        <v>15</v>
      </c>
      <c r="D107" s="9" t="s">
        <v>52</v>
      </c>
      <c r="E107" s="9" t="s">
        <v>307</v>
      </c>
      <c r="F107" s="9"/>
    </row>
    <row r="108" spans="1:6" ht="60" hidden="1" x14ac:dyDescent="0.25">
      <c r="A108" s="9">
        <v>111</v>
      </c>
      <c r="B108" s="9" t="s">
        <v>317</v>
      </c>
      <c r="C108" s="9" t="s">
        <v>52</v>
      </c>
      <c r="D108" s="9" t="s">
        <v>31</v>
      </c>
      <c r="E108" s="9" t="s">
        <v>307</v>
      </c>
      <c r="F108" s="9"/>
    </row>
    <row r="109" spans="1:6" ht="60" hidden="1" x14ac:dyDescent="0.25">
      <c r="A109" s="9">
        <v>112</v>
      </c>
      <c r="B109" s="9" t="s">
        <v>318</v>
      </c>
      <c r="C109" s="9" t="s">
        <v>161</v>
      </c>
      <c r="D109" s="9" t="s">
        <v>209</v>
      </c>
      <c r="E109" s="9" t="s">
        <v>307</v>
      </c>
      <c r="F109" s="9"/>
    </row>
    <row r="110" spans="1:6" ht="60" hidden="1" x14ac:dyDescent="0.25">
      <c r="A110" s="9">
        <v>113</v>
      </c>
      <c r="B110" s="9" t="s">
        <v>319</v>
      </c>
      <c r="C110" s="9" t="s">
        <v>38</v>
      </c>
      <c r="D110" s="9" t="s">
        <v>112</v>
      </c>
      <c r="E110" s="9" t="s">
        <v>307</v>
      </c>
      <c r="F110" s="9"/>
    </row>
    <row r="111" spans="1:6" ht="60" hidden="1" x14ac:dyDescent="0.25">
      <c r="A111" s="9">
        <v>114</v>
      </c>
      <c r="B111" s="9" t="s">
        <v>320</v>
      </c>
      <c r="C111" s="9" t="s">
        <v>94</v>
      </c>
      <c r="D111" s="9" t="s">
        <v>272</v>
      </c>
      <c r="E111" s="9" t="s">
        <v>307</v>
      </c>
      <c r="F111" s="9"/>
    </row>
    <row r="112" spans="1:6" ht="90" hidden="1" x14ac:dyDescent="0.25">
      <c r="A112" s="9">
        <v>115</v>
      </c>
      <c r="B112" s="9" t="s">
        <v>321</v>
      </c>
      <c r="C112" s="9" t="s">
        <v>52</v>
      </c>
      <c r="D112" s="9" t="s">
        <v>291</v>
      </c>
      <c r="E112" s="9" t="s">
        <v>309</v>
      </c>
      <c r="F112" s="9"/>
    </row>
    <row r="113" spans="1:6" ht="90" hidden="1" x14ac:dyDescent="0.25">
      <c r="A113" s="9">
        <v>116</v>
      </c>
      <c r="B113" s="9" t="s">
        <v>322</v>
      </c>
      <c r="C113" s="9" t="s">
        <v>325</v>
      </c>
      <c r="D113" s="9" t="s">
        <v>164</v>
      </c>
      <c r="E113" s="9" t="s">
        <v>307</v>
      </c>
      <c r="F113" s="9"/>
    </row>
    <row r="114" spans="1:6" ht="75" hidden="1" x14ac:dyDescent="0.25">
      <c r="A114" s="9">
        <v>117</v>
      </c>
      <c r="B114" s="9" t="s">
        <v>323</v>
      </c>
      <c r="C114" s="9" t="s">
        <v>38</v>
      </c>
      <c r="D114" s="9" t="s">
        <v>94</v>
      </c>
      <c r="E114" s="9" t="s">
        <v>307</v>
      </c>
      <c r="F114" s="9"/>
    </row>
    <row r="115" spans="1:6" ht="45" hidden="1" x14ac:dyDescent="0.25">
      <c r="A115" s="9">
        <v>118</v>
      </c>
      <c r="B115" s="9" t="s">
        <v>324</v>
      </c>
      <c r="C115" s="9" t="s">
        <v>155</v>
      </c>
      <c r="D115" s="9" t="s">
        <v>151</v>
      </c>
      <c r="E115" s="9" t="s">
        <v>307</v>
      </c>
      <c r="F115" s="9"/>
    </row>
    <row r="116" spans="1:6" ht="60" hidden="1" x14ac:dyDescent="0.25">
      <c r="A116" s="9">
        <v>119</v>
      </c>
      <c r="B116" s="9" t="s">
        <v>325</v>
      </c>
      <c r="C116" s="9" t="s">
        <v>112</v>
      </c>
      <c r="D116" s="9" t="s">
        <v>164</v>
      </c>
      <c r="E116" s="9" t="s">
        <v>309</v>
      </c>
      <c r="F116" s="9"/>
    </row>
    <row r="117" spans="1:6" ht="45" hidden="1" x14ac:dyDescent="0.25">
      <c r="A117" s="9">
        <v>120</v>
      </c>
      <c r="B117" s="9" t="s">
        <v>326</v>
      </c>
      <c r="C117" s="9" t="s">
        <v>209</v>
      </c>
      <c r="D117" s="9" t="s">
        <v>164</v>
      </c>
      <c r="E117" s="9" t="s">
        <v>307</v>
      </c>
      <c r="F117" s="9"/>
    </row>
    <row r="118" spans="1:6" ht="60" hidden="1" x14ac:dyDescent="0.25">
      <c r="A118" s="9">
        <v>121</v>
      </c>
      <c r="B118" s="9" t="s">
        <v>327</v>
      </c>
      <c r="C118" s="9" t="s">
        <v>112</v>
      </c>
      <c r="D118" s="9" t="s">
        <v>164</v>
      </c>
      <c r="E118" s="9" t="s">
        <v>309</v>
      </c>
      <c r="F118" s="9"/>
    </row>
    <row r="119" spans="1:6" ht="75" hidden="1" x14ac:dyDescent="0.25">
      <c r="A119" s="9">
        <v>122</v>
      </c>
      <c r="B119" s="9" t="s">
        <v>328</v>
      </c>
      <c r="C119" s="9" t="s">
        <v>52</v>
      </c>
      <c r="D119" s="9" t="s">
        <v>15</v>
      </c>
      <c r="E119" s="9" t="s">
        <v>307</v>
      </c>
      <c r="F119" s="9"/>
    </row>
    <row r="120" spans="1:6" ht="60" hidden="1" x14ac:dyDescent="0.25">
      <c r="A120" s="9">
        <v>123</v>
      </c>
      <c r="B120" s="9" t="s">
        <v>329</v>
      </c>
      <c r="C120" s="9" t="s">
        <v>94</v>
      </c>
      <c r="D120" s="9" t="s">
        <v>272</v>
      </c>
      <c r="E120" s="9" t="s">
        <v>307</v>
      </c>
      <c r="F120" s="9"/>
    </row>
    <row r="121" spans="1:6" ht="75" hidden="1" x14ac:dyDescent="0.25">
      <c r="A121" s="9">
        <v>124</v>
      </c>
      <c r="B121" s="9" t="s">
        <v>330</v>
      </c>
      <c r="C121" s="9" t="s">
        <v>94</v>
      </c>
      <c r="D121" s="9" t="s">
        <v>272</v>
      </c>
      <c r="E121" s="9" t="s">
        <v>307</v>
      </c>
      <c r="F121" s="9"/>
    </row>
    <row r="122" spans="1:6" ht="60" hidden="1" x14ac:dyDescent="0.25">
      <c r="A122" s="9">
        <v>125</v>
      </c>
      <c r="B122" s="9" t="s">
        <v>331</v>
      </c>
      <c r="C122" s="9" t="s">
        <v>77</v>
      </c>
      <c r="D122" s="9" t="s">
        <v>52</v>
      </c>
      <c r="E122" s="9" t="s">
        <v>307</v>
      </c>
      <c r="F122" s="9"/>
    </row>
    <row r="123" spans="1:6" ht="45" hidden="1" x14ac:dyDescent="0.25">
      <c r="A123" s="9">
        <v>126</v>
      </c>
      <c r="B123" s="9" t="s">
        <v>332</v>
      </c>
      <c r="C123" s="9" t="s">
        <v>169</v>
      </c>
      <c r="D123" s="9" t="s">
        <v>164</v>
      </c>
      <c r="E123" s="9" t="s">
        <v>307</v>
      </c>
      <c r="F123" s="9"/>
    </row>
    <row r="124" spans="1:6" ht="75" hidden="1" x14ac:dyDescent="0.25">
      <c r="A124" s="9">
        <v>127</v>
      </c>
      <c r="B124" s="9" t="s">
        <v>333</v>
      </c>
      <c r="C124" s="9" t="s">
        <v>52</v>
      </c>
      <c r="D124" s="9" t="s">
        <v>77</v>
      </c>
      <c r="E124" s="9" t="s">
        <v>307</v>
      </c>
      <c r="F124" s="9"/>
    </row>
    <row r="125" spans="1:6" ht="60" hidden="1" x14ac:dyDescent="0.25">
      <c r="A125" s="9">
        <v>128</v>
      </c>
      <c r="B125" s="9" t="s">
        <v>334</v>
      </c>
      <c r="C125" s="9" t="s">
        <v>52</v>
      </c>
      <c r="D125" s="9" t="s">
        <v>77</v>
      </c>
      <c r="E125" s="9" t="s">
        <v>307</v>
      </c>
      <c r="F125" s="9"/>
    </row>
    <row r="126" spans="1:6" ht="60" hidden="1" x14ac:dyDescent="0.25">
      <c r="A126" s="9">
        <v>129</v>
      </c>
      <c r="B126" s="9" t="s">
        <v>335</v>
      </c>
      <c r="C126" s="9" t="s">
        <v>94</v>
      </c>
      <c r="D126" s="9" t="s">
        <v>272</v>
      </c>
      <c r="E126" s="9" t="s">
        <v>307</v>
      </c>
      <c r="F126" s="9"/>
    </row>
    <row r="127" spans="1:6" ht="60" hidden="1" x14ac:dyDescent="0.25">
      <c r="A127" s="9">
        <v>130</v>
      </c>
      <c r="B127" s="9" t="s">
        <v>336</v>
      </c>
      <c r="C127" s="9" t="s">
        <v>325</v>
      </c>
      <c r="D127" s="9" t="s">
        <v>38</v>
      </c>
      <c r="E127" s="9" t="s">
        <v>307</v>
      </c>
      <c r="F127" s="9"/>
    </row>
    <row r="128" spans="1:6" ht="60" hidden="1" x14ac:dyDescent="0.25">
      <c r="A128" s="9">
        <v>131</v>
      </c>
      <c r="B128" s="9" t="s">
        <v>337</v>
      </c>
      <c r="C128" s="9" t="s">
        <v>38</v>
      </c>
      <c r="D128" s="9" t="s">
        <v>327</v>
      </c>
      <c r="E128" s="9" t="s">
        <v>307</v>
      </c>
      <c r="F128" s="9"/>
    </row>
    <row r="129" spans="1:6" ht="45" hidden="1" x14ac:dyDescent="0.25">
      <c r="A129" s="9">
        <v>132</v>
      </c>
      <c r="B129" s="9" t="s">
        <v>338</v>
      </c>
      <c r="C129" s="9" t="s">
        <v>169</v>
      </c>
      <c r="D129" s="9" t="s">
        <v>164</v>
      </c>
      <c r="E129" s="9" t="s">
        <v>307</v>
      </c>
      <c r="F129" s="9"/>
    </row>
    <row r="130" spans="1:6" ht="75" hidden="1" x14ac:dyDescent="0.25">
      <c r="A130" s="9">
        <v>133</v>
      </c>
      <c r="B130" s="9" t="s">
        <v>339</v>
      </c>
      <c r="C130" s="9" t="s">
        <v>52</v>
      </c>
      <c r="D130" s="9" t="s">
        <v>71</v>
      </c>
      <c r="E130" s="9" t="s">
        <v>307</v>
      </c>
      <c r="F130" s="9"/>
    </row>
    <row r="131" spans="1:6" ht="60" hidden="1" x14ac:dyDescent="0.25">
      <c r="A131" s="9">
        <v>134</v>
      </c>
      <c r="B131" s="9" t="s">
        <v>340</v>
      </c>
      <c r="C131" s="9" t="s">
        <v>327</v>
      </c>
      <c r="D131" s="9" t="s">
        <v>38</v>
      </c>
      <c r="E131" s="9" t="s">
        <v>307</v>
      </c>
      <c r="F131" s="9"/>
    </row>
    <row r="132" spans="1:6" ht="60" hidden="1" x14ac:dyDescent="0.25">
      <c r="A132" s="9">
        <v>135</v>
      </c>
      <c r="B132" s="9" t="s">
        <v>341</v>
      </c>
      <c r="C132" s="9" t="s">
        <v>94</v>
      </c>
      <c r="D132" s="9" t="s">
        <v>272</v>
      </c>
      <c r="E132" s="9" t="s">
        <v>307</v>
      </c>
      <c r="F132" s="9"/>
    </row>
    <row r="133" spans="1:6" ht="60" hidden="1" x14ac:dyDescent="0.25">
      <c r="A133" s="9">
        <v>136</v>
      </c>
      <c r="B133" s="9" t="s">
        <v>342</v>
      </c>
      <c r="C133" s="9" t="s">
        <v>325</v>
      </c>
      <c r="D133" s="9" t="s">
        <v>164</v>
      </c>
      <c r="E133" s="9" t="s">
        <v>307</v>
      </c>
      <c r="F133" s="9"/>
    </row>
    <row r="134" spans="1:6" ht="90" hidden="1" x14ac:dyDescent="0.25">
      <c r="A134" s="9">
        <v>137</v>
      </c>
      <c r="B134" s="9" t="s">
        <v>343</v>
      </c>
      <c r="C134" s="9" t="s">
        <v>230</v>
      </c>
      <c r="D134" s="9" t="s">
        <v>123</v>
      </c>
      <c r="E134" s="9" t="s">
        <v>307</v>
      </c>
      <c r="F134" s="9"/>
    </row>
    <row r="135" spans="1:6" ht="90" hidden="1" x14ac:dyDescent="0.25">
      <c r="A135" s="9">
        <v>138</v>
      </c>
      <c r="B135" s="9" t="s">
        <v>344</v>
      </c>
      <c r="C135" s="9" t="s">
        <v>230</v>
      </c>
      <c r="D135" s="9" t="s">
        <v>123</v>
      </c>
      <c r="E135" s="9" t="s">
        <v>307</v>
      </c>
      <c r="F135" s="9"/>
    </row>
    <row r="136" spans="1:6" ht="60" hidden="1" x14ac:dyDescent="0.25">
      <c r="A136" s="9">
        <v>139</v>
      </c>
      <c r="B136" s="9" t="s">
        <v>345</v>
      </c>
      <c r="C136" s="9" t="s">
        <v>161</v>
      </c>
      <c r="D136" s="9" t="s">
        <v>209</v>
      </c>
      <c r="E136" s="9" t="s">
        <v>307</v>
      </c>
      <c r="F136" s="9"/>
    </row>
    <row r="137" spans="1:6" ht="60" hidden="1" x14ac:dyDescent="0.25">
      <c r="A137" s="9">
        <v>140</v>
      </c>
      <c r="B137" s="9" t="s">
        <v>346</v>
      </c>
      <c r="C137" s="9" t="s">
        <v>38</v>
      </c>
      <c r="D137" s="9" t="s">
        <v>327</v>
      </c>
      <c r="E137" s="9" t="s">
        <v>307</v>
      </c>
      <c r="F137" s="9"/>
    </row>
    <row r="138" spans="1:6" ht="45" hidden="1" x14ac:dyDescent="0.25">
      <c r="A138" s="9">
        <v>141</v>
      </c>
      <c r="B138" s="9" t="s">
        <v>347</v>
      </c>
      <c r="C138" s="9" t="s">
        <v>161</v>
      </c>
      <c r="D138" s="9" t="s">
        <v>209</v>
      </c>
      <c r="E138" s="9" t="s">
        <v>307</v>
      </c>
      <c r="F138" s="9"/>
    </row>
    <row r="139" spans="1:6" ht="75" hidden="1" x14ac:dyDescent="0.25">
      <c r="A139" s="9">
        <v>142</v>
      </c>
      <c r="B139" s="9" t="s">
        <v>348</v>
      </c>
      <c r="C139" s="9" t="s">
        <v>52</v>
      </c>
      <c r="D139" s="9" t="s">
        <v>71</v>
      </c>
      <c r="E139" s="9" t="s">
        <v>307</v>
      </c>
      <c r="F139" s="9"/>
    </row>
    <row r="140" spans="1:6" ht="90" hidden="1" x14ac:dyDescent="0.25">
      <c r="A140" s="9">
        <v>143</v>
      </c>
      <c r="B140" s="9" t="s">
        <v>349</v>
      </c>
      <c r="C140" s="9" t="s">
        <v>230</v>
      </c>
      <c r="D140" s="9" t="s">
        <v>123</v>
      </c>
      <c r="E140" s="9" t="s">
        <v>307</v>
      </c>
      <c r="F140" s="9"/>
    </row>
    <row r="141" spans="1:6" ht="45" hidden="1" x14ac:dyDescent="0.25">
      <c r="A141" s="9">
        <v>144</v>
      </c>
      <c r="B141" s="9" t="s">
        <v>350</v>
      </c>
      <c r="C141" s="9" t="s">
        <v>325</v>
      </c>
      <c r="D141" s="9" t="s">
        <v>164</v>
      </c>
      <c r="E141" s="9" t="s">
        <v>307</v>
      </c>
      <c r="F141" s="9"/>
    </row>
    <row r="142" spans="1:6" ht="45" hidden="1" x14ac:dyDescent="0.25">
      <c r="A142" s="9">
        <v>145</v>
      </c>
      <c r="B142" s="9" t="s">
        <v>351</v>
      </c>
      <c r="C142" s="9" t="s">
        <v>31</v>
      </c>
      <c r="D142" s="9" t="s">
        <v>164</v>
      </c>
      <c r="E142" s="9" t="s">
        <v>307</v>
      </c>
      <c r="F142" s="9"/>
    </row>
    <row r="143" spans="1:6" ht="60" hidden="1" x14ac:dyDescent="0.25">
      <c r="A143" s="9">
        <v>146</v>
      </c>
      <c r="B143" s="9" t="s">
        <v>352</v>
      </c>
      <c r="C143" s="9" t="s">
        <v>266</v>
      </c>
      <c r="D143" s="9" t="s">
        <v>52</v>
      </c>
      <c r="E143" s="9" t="s">
        <v>307</v>
      </c>
      <c r="F143" s="9"/>
    </row>
    <row r="144" spans="1:6" ht="60" hidden="1" x14ac:dyDescent="0.25">
      <c r="A144" s="9">
        <v>147</v>
      </c>
      <c r="B144" s="9" t="s">
        <v>353</v>
      </c>
      <c r="C144" s="9" t="s">
        <v>325</v>
      </c>
      <c r="D144" s="9" t="s">
        <v>164</v>
      </c>
      <c r="E144" s="9" t="s">
        <v>307</v>
      </c>
      <c r="F144" s="9"/>
    </row>
    <row r="145" spans="1:6" x14ac:dyDescent="0.25">
      <c r="A145" s="9"/>
      <c r="B145" s="9"/>
      <c r="C145" s="9"/>
      <c r="D145" s="9"/>
      <c r="E145" s="9"/>
      <c r="F145" s="9"/>
    </row>
  </sheetData>
  <autoFilter ref="A1:E144" xr:uid="{74FC2115-6407-48FB-8337-AECE435DF53A}">
    <filterColumn colId="1">
      <filters>
        <filter val="Thiago Santana de Oliveir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Planilha2</vt:lpstr>
      <vt:lpstr>Atualização</vt:lpstr>
      <vt:lpstr>Planilha3</vt:lpstr>
      <vt:lpstr>Usuários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Araujo Sequeira Barreiro</dc:creator>
  <cp:lastModifiedBy>Wagner Araujo Sequeira Barreiro</cp:lastModifiedBy>
  <dcterms:created xsi:type="dcterms:W3CDTF">2025-07-25T19:03:15Z</dcterms:created>
  <dcterms:modified xsi:type="dcterms:W3CDTF">2025-09-15T13:02:36Z</dcterms:modified>
</cp:coreProperties>
</file>